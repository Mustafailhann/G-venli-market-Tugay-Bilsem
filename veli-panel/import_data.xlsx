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strator\Desktop\2025-2026 YENİ KAYITLAR\"/>
    </mc:Choice>
  </mc:AlternateContent>
  <xr:revisionPtr revIDLastSave="0" documentId="13_ncr:1_{BC0F1BCF-555F-4E1A-8CC0-23E52C3E601F}" xr6:coauthVersionLast="47" xr6:coauthVersionMax="47" xr10:uidLastSave="{00000000-0000-0000-0000-000000000000}"/>
  <bookViews>
    <workbookView xWindow="-120" yWindow="-120" windowWidth="29040" windowHeight="15840" activeTab="1" xr2:uid="{00000000-000D-0000-FFFF-FFFF00000000}"/>
  </bookViews>
  <sheets>
    <sheet name="FormYanıtları1" sheetId="1" r:id="rId1"/>
    <sheet name="eBilsem" sheetId="3" r:id="rId2"/>
    <sheet name="Form" sheetId="2" r:id="rId3"/>
    <sheet name="Kayıt Yenileme" sheetId="4" r:id="rId4"/>
  </sheets>
  <definedNames>
    <definedName name="_xlnm._FilterDatabase" localSheetId="0" hidden="1">FormYanıtları1!$A$1:$W$59</definedName>
    <definedName name="_xlnm.Print_Area" localSheetId="2">Form!$B$1:$H$37</definedName>
    <definedName name="_xlnm.Print_Area" localSheetId="3">'Kayıt Yenileme'!$B$1:$H$37</definedName>
  </definedNames>
  <calcPr calcId="191029"/>
</workbook>
</file>

<file path=xl/calcChain.xml><?xml version="1.0" encoding="utf-8"?>
<calcChain xmlns="http://schemas.openxmlformats.org/spreadsheetml/2006/main">
  <c r="J26" i="4" l="1"/>
  <c r="J25" i="4"/>
  <c r="J24" i="4"/>
  <c r="J23" i="4"/>
  <c r="J22" i="4"/>
  <c r="J21" i="4"/>
  <c r="J20" i="4"/>
  <c r="J19" i="4"/>
  <c r="J18" i="4"/>
  <c r="J17" i="4"/>
  <c r="J16" i="4"/>
  <c r="J15" i="4"/>
  <c r="J14" i="4"/>
  <c r="J13" i="4"/>
  <c r="J12" i="4"/>
  <c r="J11" i="4"/>
  <c r="J10" i="4"/>
  <c r="J9" i="4"/>
  <c r="J8" i="4"/>
  <c r="J7" i="4"/>
  <c r="J6" i="4"/>
  <c r="J5" i="4"/>
  <c r="F27" i="4"/>
  <c r="F36" i="4" s="1"/>
  <c r="F27" i="2"/>
  <c r="F36" i="2" s="1"/>
  <c r="J26" i="2"/>
  <c r="J25" i="2"/>
  <c r="J24" i="2"/>
  <c r="J23" i="2"/>
  <c r="J22" i="2"/>
  <c r="J21" i="2"/>
  <c r="J20" i="2"/>
  <c r="J19" i="2"/>
  <c r="J18" i="2"/>
  <c r="J17" i="2"/>
  <c r="J16" i="2"/>
  <c r="J15" i="2"/>
  <c r="J14" i="2"/>
  <c r="J13" i="2"/>
  <c r="J12" i="2"/>
  <c r="J11" i="2"/>
  <c r="J10" i="2"/>
  <c r="J9" i="2"/>
  <c r="J8" i="2"/>
  <c r="J7" i="2"/>
  <c r="J6" i="2"/>
  <c r="J5" i="2"/>
  <c r="K5" i="4"/>
  <c r="K15" i="4"/>
  <c r="K14" i="4"/>
  <c r="K13" i="4"/>
  <c r="K24" i="4"/>
  <c r="K10" i="4"/>
  <c r="K9" i="4"/>
  <c r="K18" i="4"/>
  <c r="K26" i="4"/>
  <c r="K11" i="4"/>
  <c r="K20" i="4"/>
  <c r="K25" i="4"/>
  <c r="K22" i="4"/>
  <c r="K21" i="4"/>
  <c r="K8" i="4"/>
  <c r="K12" i="4"/>
  <c r="K19" i="4"/>
  <c r="K23" i="4"/>
  <c r="K7" i="4"/>
  <c r="K16" i="4"/>
  <c r="K17" i="4"/>
  <c r="K6" i="4"/>
  <c r="K15" i="2"/>
  <c r="K6" i="2"/>
  <c r="K10" i="2"/>
  <c r="K5" i="2"/>
  <c r="K12" i="2"/>
  <c r="K11" i="2"/>
  <c r="G6" i="4" l="1"/>
  <c r="C15" i="4"/>
  <c r="C12" i="4"/>
  <c r="C7" i="4"/>
  <c r="F16" i="4"/>
  <c r="C6" i="4"/>
  <c r="C17" i="4"/>
  <c r="G9" i="4"/>
  <c r="G7" i="4"/>
  <c r="C19" i="4"/>
  <c r="F15" i="4"/>
  <c r="F18" i="4"/>
  <c r="C18" i="4"/>
  <c r="C9" i="4"/>
  <c r="F19" i="4"/>
  <c r="C16" i="4"/>
  <c r="F26" i="4"/>
  <c r="F35" i="4" s="1"/>
  <c r="C8" i="4"/>
  <c r="G8" i="4"/>
  <c r="F17" i="4"/>
  <c r="C10" i="4"/>
  <c r="G10" i="4"/>
  <c r="C11" i="4"/>
  <c r="C11" i="2"/>
  <c r="C6" i="2"/>
  <c r="K9" i="2"/>
  <c r="K16" i="2"/>
  <c r="K26" i="2"/>
  <c r="K14" i="2"/>
  <c r="K25" i="2"/>
  <c r="K19" i="2"/>
  <c r="K13" i="2"/>
  <c r="K7" i="2"/>
  <c r="K20" i="2"/>
  <c r="K24" i="2"/>
  <c r="K22" i="2"/>
  <c r="K23" i="2"/>
  <c r="K18" i="2"/>
  <c r="K21" i="2"/>
  <c r="K17" i="2"/>
  <c r="F26" i="2" l="1"/>
  <c r="F35" i="2" s="1"/>
  <c r="C8" i="2"/>
  <c r="C9" i="2"/>
  <c r="G8" i="2"/>
  <c r="G10" i="2"/>
  <c r="C10" i="2"/>
  <c r="G9" i="2"/>
  <c r="C15" i="2"/>
  <c r="C7" i="2"/>
  <c r="F17" i="2"/>
  <c r="F18" i="2"/>
  <c r="C18" i="2"/>
  <c r="F19" i="2"/>
  <c r="G6" i="2"/>
  <c r="C19" i="2"/>
  <c r="C12" i="2"/>
  <c r="C17" i="2"/>
  <c r="F15" i="2"/>
  <c r="C16" i="2"/>
  <c r="F16" i="2"/>
  <c r="K8" i="2"/>
  <c r="G7" i="2" l="1"/>
</calcChain>
</file>

<file path=xl/sharedStrings.xml><?xml version="1.0" encoding="utf-8"?>
<sst xmlns="http://schemas.openxmlformats.org/spreadsheetml/2006/main" count="2736" uniqueCount="1008">
  <si>
    <t>Zaman damgası</t>
  </si>
  <si>
    <t>Öğrencinin Adı Soyadı</t>
  </si>
  <si>
    <t>Öğrencinin T.C. Kimlik Numarası</t>
  </si>
  <si>
    <t>Öğrencinin Doğum Tarihi</t>
  </si>
  <si>
    <t>Öğrencinin Doğum Yeri</t>
  </si>
  <si>
    <t>Öğrencinin Sınıfı</t>
  </si>
  <si>
    <t>Öğrencinin Okulu</t>
  </si>
  <si>
    <t>Öğrencinin Devam Ettiği Okul Devresi</t>
  </si>
  <si>
    <t>Öğrencinin Baba Adı</t>
  </si>
  <si>
    <t>Öğrencinin Baba Cep Telefonu</t>
  </si>
  <si>
    <t>Varsa Öğrencinin Baba E-posta Adresi</t>
  </si>
  <si>
    <t>Öğrencinin Baba Mesleği</t>
  </si>
  <si>
    <t>Öğrencinin Babasının Çalıştığı Kurum Adı</t>
  </si>
  <si>
    <t>Öğrencinin Babasının Durumu</t>
  </si>
  <si>
    <t>Öğrencinin Anne Adı</t>
  </si>
  <si>
    <t>Öğrencinin Anne Cep Telefonu</t>
  </si>
  <si>
    <t>Varsa Öğrencinin Anne E-posta Adresi</t>
  </si>
  <si>
    <t>Öğrencinin Anne Mesleği</t>
  </si>
  <si>
    <t>Öğrencinin Annesinin Çalıştığı Kurum Adı</t>
  </si>
  <si>
    <t>Öğrencinin Annesinin Durumu</t>
  </si>
  <si>
    <t>Öğrencinin Velisi</t>
  </si>
  <si>
    <t>Öğrencinin Ev Adresi</t>
  </si>
  <si>
    <t>Varsa Öğrencinin Cep Telefonu</t>
  </si>
  <si>
    <t xml:space="preserve">Şehitkamil </t>
  </si>
  <si>
    <t>6. SINIF</t>
  </si>
  <si>
    <t>Tam Gün (Yaklaşık 08:30 - 14:30)</t>
  </si>
  <si>
    <t>Polis memuru</t>
  </si>
  <si>
    <t xml:space="preserve">Emniyet genel müdürlüğü </t>
  </si>
  <si>
    <t>Sağ</t>
  </si>
  <si>
    <t>enes17.arzu@gmail.com</t>
  </si>
  <si>
    <t xml:space="preserve">Hemşire </t>
  </si>
  <si>
    <t xml:space="preserve">Şehitkamil devlet hastanesi </t>
  </si>
  <si>
    <t>Baba</t>
  </si>
  <si>
    <t>Mervesehir mah 49024 nolu cad semiye apt kat 1 no 4</t>
  </si>
  <si>
    <t xml:space="preserve">Gaziantep </t>
  </si>
  <si>
    <t>5. SINIF</t>
  </si>
  <si>
    <t>Sabahçı (Yaklaşık 07:30 - 12:30)</t>
  </si>
  <si>
    <t>Esnaf</t>
  </si>
  <si>
    <t>Serbest</t>
  </si>
  <si>
    <t xml:space="preserve">aysetasdemir2700@gmail.com </t>
  </si>
  <si>
    <t xml:space="preserve">Evhanımı </t>
  </si>
  <si>
    <t>Anne</t>
  </si>
  <si>
    <t>29 ekim mahallesi 53 nolu sokak no 14</t>
  </si>
  <si>
    <t>4. SINIF</t>
  </si>
  <si>
    <t>osmangenc_27@hotmail.com</t>
  </si>
  <si>
    <t xml:space="preserve">Serbest </t>
  </si>
  <si>
    <t xml:space="preserve">Özel Sektör </t>
  </si>
  <si>
    <t xml:space="preserve">Emniyet Mensubu </t>
  </si>
  <si>
    <t xml:space="preserve">Emniyet Genel Müdürlüğü </t>
  </si>
  <si>
    <t>Vefat Etti</t>
  </si>
  <si>
    <t>Karşıyaka Mah. 77009 Nolu sok No : 5</t>
  </si>
  <si>
    <t>Prof Mehmet Görmez Anadolu imam hatip</t>
  </si>
  <si>
    <t>Msthrz46@gmail.com</t>
  </si>
  <si>
    <t>Emekli</t>
  </si>
  <si>
    <t>Ssk</t>
  </si>
  <si>
    <t>tennurguzelay@gmail.com</t>
  </si>
  <si>
    <t>Pastacı</t>
  </si>
  <si>
    <t xml:space="preserve">Özel </t>
  </si>
  <si>
    <t xml:space="preserve">Güvenevler mah </t>
  </si>
  <si>
    <t>turgaydndr@gmail.com</t>
  </si>
  <si>
    <t>Memur</t>
  </si>
  <si>
    <t>CUMHURBAŞKANLIĞI</t>
  </si>
  <si>
    <t>fatmakeman@hotmail.com</t>
  </si>
  <si>
    <t>ÖĞRETMEN</t>
  </si>
  <si>
    <t>MİLLİ EĞİTİM BAKANLIĞI</t>
  </si>
  <si>
    <t>Kayaönü mah. Lefkoşe cad. No:261/2 Şehitkamil GAZİANTEP</t>
  </si>
  <si>
    <t>Gaziantep</t>
  </si>
  <si>
    <t>Mehmet Adil Kasapseçkin İlkokulu</t>
  </si>
  <si>
    <t>Öğlenci (Yaklaşık 13:00 - 18:00)</t>
  </si>
  <si>
    <t>drdamat@hotmail.com</t>
  </si>
  <si>
    <t>Hekim</t>
  </si>
  <si>
    <t>Gaziantep Üniversitesi Sahinbey Arastirma ve Uygulama Hastanesi</t>
  </si>
  <si>
    <t>aysunozdogandamat@gmail.com</t>
  </si>
  <si>
    <t>Gaziantep Şehir Hastanesi</t>
  </si>
  <si>
    <t>Değirmiçem Mah.16016 sok Melek Apt No3 Daire 3 Şehitkamil /Gaziantep</t>
  </si>
  <si>
    <t>Tekstil</t>
  </si>
  <si>
    <t>Alpin hali</t>
  </si>
  <si>
    <t>Ev hanimi</t>
  </si>
  <si>
    <t>29 ekim mahallesi 72 nolu sokak no 40 kat 2</t>
  </si>
  <si>
    <t xml:space="preserve">Okul müdürü </t>
  </si>
  <si>
    <t>Hasan Katikci ilkokulu</t>
  </si>
  <si>
    <t>meltembozat@gmail.com</t>
  </si>
  <si>
    <t>Ogretmen</t>
  </si>
  <si>
    <t>Şehitkamil belediyesi öğretmenler ortaokulu</t>
  </si>
  <si>
    <t>Mervesehir mahallesi Aşiyan apartmanı no 43</t>
  </si>
  <si>
    <t xml:space="preserve">Sevinç Bahattin Teymur </t>
  </si>
  <si>
    <t xml:space="preserve">Öğretmen </t>
  </si>
  <si>
    <t>Ortaokul</t>
  </si>
  <si>
    <t xml:space="preserve">Ev hanım </t>
  </si>
  <si>
    <t>Karacaahmet mah. 38071 nolu sok. Türkmen Gold Neva Sitesi C blok daire 36</t>
  </si>
  <si>
    <t xml:space="preserve">Diyarbakir </t>
  </si>
  <si>
    <t>21mehmetsari21@gmail.com</t>
  </si>
  <si>
    <t>Mühendis</t>
  </si>
  <si>
    <t xml:space="preserve">TCDD </t>
  </si>
  <si>
    <t>21meltembayraksari21@gmail.com</t>
  </si>
  <si>
    <t xml:space="preserve">Şehitkamil Anadolu Lisesi </t>
  </si>
  <si>
    <t>Karacaahmet Mah.38083 Sok. No 12 Emirhan Apt.</t>
  </si>
  <si>
    <t xml:space="preserve">İşçi </t>
  </si>
  <si>
    <t>Sahinbey belediyesi</t>
  </si>
  <si>
    <t xml:space="preserve">Dilekberen2727@gmail.com </t>
  </si>
  <si>
    <t>Kayaönü mah.karaoglan oğlu cad.sok 17no 23 kat 3</t>
  </si>
  <si>
    <t xml:space="preserve">Şehitkamil/Gaziantep </t>
  </si>
  <si>
    <t>Ali Küncülü Ortaokulu</t>
  </si>
  <si>
    <t>Masör</t>
  </si>
  <si>
    <t xml:space="preserve">Şehitkamil belediyesi </t>
  </si>
  <si>
    <t xml:space="preserve">Ev hanımı </t>
  </si>
  <si>
    <t xml:space="preserve">Seyrantepe mah.f 6 b.blok kapıcı dairesi </t>
  </si>
  <si>
    <t>Çankaya</t>
  </si>
  <si>
    <t xml:space="preserve">Mehmet Emin Zekiye Üstünel Ortaokulu </t>
  </si>
  <si>
    <t>cumapehlivan@gmail.com</t>
  </si>
  <si>
    <t xml:space="preserve">İl Emniyet Müdürlüğü </t>
  </si>
  <si>
    <t>elmaspehlivan@gmail.com</t>
  </si>
  <si>
    <t>Hemşire</t>
  </si>
  <si>
    <t>İl Sağlık Müdürlüğü</t>
  </si>
  <si>
    <t>Değirmiçem Mahallesi Göğüş Caddesi No:38 2.Kat Daire:6 Şehitkamil</t>
  </si>
  <si>
    <t>Nesibe Aydın Ortaokulu</t>
  </si>
  <si>
    <t>turgutsenturk@gmail.com</t>
  </si>
  <si>
    <t>Ticaret</t>
  </si>
  <si>
    <t xml:space="preserve">. </t>
  </si>
  <si>
    <t>arzuilhansenturk@gmail.com</t>
  </si>
  <si>
    <t>Doktor</t>
  </si>
  <si>
    <t>.</t>
  </si>
  <si>
    <t xml:space="preserve">Sarıgüllük Mah. Kılıç Ali Cad. Şentürk Apt. No:40/8  Şehitkamil/Gaziantep </t>
  </si>
  <si>
    <t>Gaziantep/Şahinbey</t>
  </si>
  <si>
    <t>mesutincii1688@gmail.com</t>
  </si>
  <si>
    <t xml:space="preserve">Fabrika işçisi </t>
  </si>
  <si>
    <t>Ünal Sentetik Dokuma ve San.ve Tic.A.Ş</t>
  </si>
  <si>
    <t>zeynepinciinci16@gmail.com</t>
  </si>
  <si>
    <t>GÖLLÜCE MAH.25058 nolu sk. TOKİ KNT. No:130E-1/BLK D:59 GÖLLÜCE MAH.</t>
  </si>
  <si>
    <t>Ceren TEHÇİ</t>
  </si>
  <si>
    <t>Ali Küncüllü Ortaokulu</t>
  </si>
  <si>
    <t>yusuf.tehci@gmail.com</t>
  </si>
  <si>
    <t>Polis Memuru</t>
  </si>
  <si>
    <t xml:space="preserve">Emniyet Müdürlüğü </t>
  </si>
  <si>
    <t>nursel.tehci@gmail.com</t>
  </si>
  <si>
    <t xml:space="preserve">Ev Hanımı </t>
  </si>
  <si>
    <t>MerveŞehir mahallesi 49059 sk no:3 Şehitkamil</t>
  </si>
  <si>
    <t xml:space="preserve">Defne Su TOPGÜL </t>
  </si>
  <si>
    <t>3. SINIF</t>
  </si>
  <si>
    <t xml:space="preserve">Polis memuru </t>
  </si>
  <si>
    <t xml:space="preserve">Hacısanikonukoğlu mtal </t>
  </si>
  <si>
    <t>MÜCAHİTLER mah Ömer Ersoy Cad.İlayda apt kat 2daire 8</t>
  </si>
  <si>
    <t xml:space="preserve">Şoför </t>
  </si>
  <si>
    <t>Seon mali müşavirlik burosu</t>
  </si>
  <si>
    <t>Gazikent mah 27040 nolu cad Gazikent apt kat 4 no 14</t>
  </si>
  <si>
    <t xml:space="preserve">Gaziantep Şahinbey </t>
  </si>
  <si>
    <t xml:space="preserve">Kılıçarslan Ortaokulu </t>
  </si>
  <si>
    <t>İnşaat demircisi</t>
  </si>
  <si>
    <t xml:space="preserve">Serbest meslek </t>
  </si>
  <si>
    <t>Ev hanımı</t>
  </si>
  <si>
    <t>Yok</t>
  </si>
  <si>
    <t xml:space="preserve">Boyno mahallesi Lefkoşe Caddesi No.20 Şehitkamil Gaziantep </t>
  </si>
  <si>
    <t>Süriye/halep</t>
  </si>
  <si>
    <t>Hastane</t>
  </si>
  <si>
    <t>Değirmiçem mah. Fevzi çakmak blv. Yuksalten apt</t>
  </si>
  <si>
    <t>Enes Selim DEMİR</t>
  </si>
  <si>
    <t>Üsküdar</t>
  </si>
  <si>
    <t>Emel Galip Hasırcı Ortaokulu</t>
  </si>
  <si>
    <t>Hakim</t>
  </si>
  <si>
    <t>Gaziantep Bölge Adliye Mahkemesi</t>
  </si>
  <si>
    <t>Çalışmıyor</t>
  </si>
  <si>
    <t xml:space="preserve">Beykent adliye lojmanları </t>
  </si>
  <si>
    <t>dagleman25@gmail.com</t>
  </si>
  <si>
    <t>Karacaoğlan mahallesi 55nolu sokak.no3kat 1</t>
  </si>
  <si>
    <t>bozdagaysegul845@gmail.com</t>
  </si>
  <si>
    <t xml:space="preserve">Fabrika </t>
  </si>
  <si>
    <t xml:space="preserve">Polikamp </t>
  </si>
  <si>
    <t>8 şubat mahallesi 82114 nolu sokak yıldırım sitesi B blok no 17 kat 1 daire 3</t>
  </si>
  <si>
    <t>m.yilmaz.27@hotmail.com</t>
  </si>
  <si>
    <t>Mali Müşavir</t>
  </si>
  <si>
    <t>STFC Petrol Ürünleri Ltd.Şti.</t>
  </si>
  <si>
    <t>Boyno Mah. 07041 nolu sokak No:14 Şehitkamil Gaziantep</t>
  </si>
  <si>
    <t>ahmetdere2772@icloud.com</t>
  </si>
  <si>
    <t>dilekdere2772@iCloud.com</t>
  </si>
  <si>
    <t>Selahattin eyyübi mah Şehit İbrahim halil açıkgöz sok no :65</t>
  </si>
  <si>
    <t xml:space="preserve">Mehmet Ali Alevli İlkokulu </t>
  </si>
  <si>
    <t>suha.sonmezisik@gmail.com</t>
  </si>
  <si>
    <t>Sınıf Öğretmeni</t>
  </si>
  <si>
    <t xml:space="preserve">Mehmet Ali Alevli İlkokulu Şehitkamil </t>
  </si>
  <si>
    <t>Şehitkamil Sağlık müdürlüğü</t>
  </si>
  <si>
    <t>Mücahitler mah 52041 sok ipek apt</t>
  </si>
  <si>
    <t>Hüseyinakay27@gmail.com</t>
  </si>
  <si>
    <t xml:space="preserve">Emekli </t>
  </si>
  <si>
    <t xml:space="preserve">Özel sektör </t>
  </si>
  <si>
    <t>haticeakay2727@gmail.com</t>
  </si>
  <si>
    <t xml:space="preserve">Boyno Mahallesi Lefkoşa Caddesi 7042 numaralı sokak no 7 </t>
  </si>
  <si>
    <t>Van</t>
  </si>
  <si>
    <t>Yıldız market</t>
  </si>
  <si>
    <t xml:space="preserve">Belkız mah. 8003 nolu sokak şahinler apartman8 kat:3 daire no:9 Şehitkamil/ Gaziantep </t>
  </si>
  <si>
    <t>Kenal Yiğit UNCU</t>
  </si>
  <si>
    <t xml:space="preserve">Gaziantep Kolej Vakfı </t>
  </si>
  <si>
    <t>Uncumehmet@msn.com</t>
  </si>
  <si>
    <t>Elektrik mühendisi</t>
  </si>
  <si>
    <t>Şehitkamil Belediyesi</t>
  </si>
  <si>
    <t>Ebr_nazz@hotmail.com</t>
  </si>
  <si>
    <t>Uzman Doktor</t>
  </si>
  <si>
    <t>Nizip Devlet Hastanesi</t>
  </si>
  <si>
    <t>Güvenevler mah. M. Selim Memiş sokak. Vizyon Konutlaro C:22</t>
  </si>
  <si>
    <t>baris_kalender@hotmail.com</t>
  </si>
  <si>
    <t>MALİ MÜŞAVİR</t>
  </si>
  <si>
    <t>SERBEST MESLEK</t>
  </si>
  <si>
    <t>tugbariskalender@hotmail.com</t>
  </si>
  <si>
    <t>EV HANIMI</t>
  </si>
  <si>
    <t>SARIGÜLLÜK MAH. NAKIP ALİ CAD. NO:23 LEVENT APT. K.4 D.8 ŞEHİTKAMİL/GAZİANTEP</t>
  </si>
  <si>
    <t>Mehdican İNCE</t>
  </si>
  <si>
    <t>Arnavutköy</t>
  </si>
  <si>
    <t>Emniyet genel müdürlüğü</t>
  </si>
  <si>
    <t>Nurdan_05_bjk@hotmail.com</t>
  </si>
  <si>
    <t xml:space="preserve">Patoloji Laboratuvar Teknikeri </t>
  </si>
  <si>
    <t>Göktürk Mahallesi. 150139 sokak no:13 Göktürk polis lojmanları  I blok kat:5 daire 32</t>
  </si>
  <si>
    <t>Şehitkamil</t>
  </si>
  <si>
    <t>Emniyet</t>
  </si>
  <si>
    <t>Zabıt katibi</t>
  </si>
  <si>
    <t>Adliye</t>
  </si>
  <si>
    <t>Fıstıklık mah. 152073 nolu sok. No:8 Erguvan sitesi A Blok K:5 D:18 Şehitkamil/Gaziantep</t>
  </si>
  <si>
    <t xml:space="preserve">Ünler Ortaokulu </t>
  </si>
  <si>
    <t>okkesferik22@gmail.com</t>
  </si>
  <si>
    <t>Garson</t>
  </si>
  <si>
    <t>ferikgulten05@gmail.com</t>
  </si>
  <si>
    <t xml:space="preserve">Usta öğretici </t>
  </si>
  <si>
    <t xml:space="preserve">Halk eğitim merkezi </t>
  </si>
  <si>
    <t>Pir sultan mahallesi 59208 noldu sokak no 32 kat 1</t>
  </si>
  <si>
    <t>murat@defnecevre.com</t>
  </si>
  <si>
    <t>Çevre muhendisi</t>
  </si>
  <si>
    <t>Defne dan. Ve muh. Hiz. San tic ltd sti</t>
  </si>
  <si>
    <t>iklim@defnecevre.com</t>
  </si>
  <si>
    <t>Cevre muhendisi</t>
  </si>
  <si>
    <t>Mucahitler mh. 52072 nolu sok. No 4/9</t>
  </si>
  <si>
    <t>Gaziantep Şehitkamil</t>
  </si>
  <si>
    <t>İç işleri bakanlığı</t>
  </si>
  <si>
    <t>rkydsl@gmail.com</t>
  </si>
  <si>
    <t>Mücahitler mah Ömer Ersoy cad ilayda apartmanı no 21 kat6 daire 24</t>
  </si>
  <si>
    <t xml:space="preserve">Muhammed ESKİCİ </t>
  </si>
  <si>
    <t xml:space="preserve">Malatya </t>
  </si>
  <si>
    <t xml:space="preserve">İl Emniyet </t>
  </si>
  <si>
    <t xml:space="preserve">Güvenevler mahallesi 29033cad. No 4 Sueda apt daire 7 </t>
  </si>
  <si>
    <t>sukrukeskin1@hotmail.com</t>
  </si>
  <si>
    <t>Öğretmen</t>
  </si>
  <si>
    <t xml:space="preserve">MEB </t>
  </si>
  <si>
    <t>Mücahitler mahallesi 52.041 nolu Sokak no:2/18 Kat 5 ipek apartma Şehitkamil Gaziantep</t>
  </si>
  <si>
    <t>Avusturya</t>
  </si>
  <si>
    <t>Zeytinli mah.cetin emeç cad.no 11/1şehitkamil Gaziantep</t>
  </si>
  <si>
    <t>Gaziantep şehitkamil</t>
  </si>
  <si>
    <t>Azize Abdulkadir Hamamcıoğlu Ortaokulu</t>
  </si>
  <si>
    <t>Yad-i_hazin@hotmail.com</t>
  </si>
  <si>
    <t>Çiftçi</t>
  </si>
  <si>
    <t>Kendine ait</t>
  </si>
  <si>
    <t>Pirsultan Mahallesi 167 nolu Sokak No 4 kat 1</t>
  </si>
  <si>
    <t>Nur Reyyan KILIÇ</t>
  </si>
  <si>
    <t>Şehit Ömer Harun Demir İmam Hatim Ortaokulu</t>
  </si>
  <si>
    <t>snr__19@hotmail.com</t>
  </si>
  <si>
    <t>Satış Pazarlama</t>
  </si>
  <si>
    <t>Özel Sektör</t>
  </si>
  <si>
    <t>fyz__19@hotmail.com</t>
  </si>
  <si>
    <t>Diyanet İşleri Başkanlığı</t>
  </si>
  <si>
    <t>Mücahitler Mah. 52073 Nl. Sk. No:18 Fildişi Apt. K:6 Dai:14 Şehitkamil</t>
  </si>
  <si>
    <t>Fabrika işçisi</t>
  </si>
  <si>
    <t>Oba makarna</t>
  </si>
  <si>
    <t>polatozlem1987@gmail.com</t>
  </si>
  <si>
    <t>Anneanne</t>
  </si>
  <si>
    <t>Seyrantepe mahallesi 65003nolu cad. Etiler3 apt</t>
  </si>
  <si>
    <t xml:space="preserve">Merveşehir Ortaokulu </t>
  </si>
  <si>
    <t>Özel Sektörde Pazarlama Elemanı</t>
  </si>
  <si>
    <t xml:space="preserve">Keskin Tel Örgü </t>
  </si>
  <si>
    <t>fatmaincirli3327@gmail.com</t>
  </si>
  <si>
    <t xml:space="preserve">Gaziyurt İlkokulu </t>
  </si>
  <si>
    <t>Karacaahmet Mahallesi Şehit Ahmet Sinan Demircan Sokak Bulvar Sitesi  A Blok Kat:6 Daire:23</t>
  </si>
  <si>
    <t>Katip</t>
  </si>
  <si>
    <t>Gaziantep 5.noterliği</t>
  </si>
  <si>
    <t>deryaakdag823@gmail.com</t>
  </si>
  <si>
    <t xml:space="preserve">Tıbbi sekreter </t>
  </si>
  <si>
    <t xml:space="preserve">Özel klinik </t>
  </si>
  <si>
    <t>[2/9 14:50] Derya Akdağ: Mücahitler mahallesi şehit ali ihsan tekoğlu sk no 7 [2/9 14:50] Derya Akdağ: C blok [2/9 14:50] Derya Akdağ: Daire 2</t>
  </si>
  <si>
    <t>Sahinbey/Gaziantep</t>
  </si>
  <si>
    <t>Ünler Ortaokulu</t>
  </si>
  <si>
    <t>agokdeniz971@gmail.com</t>
  </si>
  <si>
    <t>Fabrikada isci</t>
  </si>
  <si>
    <t>Eruslu Aş. Limited şirketi</t>
  </si>
  <si>
    <t>deryagokdeniz2779@gmail.com</t>
  </si>
  <si>
    <t>Calismiyor</t>
  </si>
  <si>
    <t>Kayaönü mah. 42091 nolu sok. No:42 kat:3</t>
  </si>
  <si>
    <t>Polis</t>
  </si>
  <si>
    <t xml:space="preserve">Gaziantep Emniyet Müdürlüğü </t>
  </si>
  <si>
    <t xml:space="preserve">Tarim orman bakanlığı </t>
  </si>
  <si>
    <t xml:space="preserve">Göktürk mahallesi 150139 nolu sokak polis lojmanları </t>
  </si>
  <si>
    <t>Zeytinli mah.cetin emeç cad.no.11/1 sehitkamil Gaziantep</t>
  </si>
  <si>
    <t xml:space="preserve">Şehitkamil  Gaziantep </t>
  </si>
  <si>
    <t>Ender pilastik</t>
  </si>
  <si>
    <t>arslansuna651@gmail.com</t>
  </si>
  <si>
    <t>Kayaönü mahallesi Kayaönü sokak no 72</t>
  </si>
  <si>
    <t>Şahinbey</t>
  </si>
  <si>
    <t>arif.simsek.zizoglu@gmail.com</t>
  </si>
  <si>
    <t>İNŞAAT MÜHENDİSİ</t>
  </si>
  <si>
    <t>KATILIM YAPI DENETİM LTD ŞTİ</t>
  </si>
  <si>
    <t>betul.simsek.zizoglu@gmail.com</t>
  </si>
  <si>
    <t>Karacaahmet mahallesi 38.032 sokak no 14 göktuğ Sitesi A blok daire 14 Şehitkamil/ Gaziantep</t>
  </si>
  <si>
    <t>Şam</t>
  </si>
  <si>
    <t>d.hani.hamdan8686@gmail.com</t>
  </si>
  <si>
    <t>Diş doktoru</t>
  </si>
  <si>
    <t>Yeșilsu diș kleniği</t>
  </si>
  <si>
    <t>esraakh156@gmail.com</t>
  </si>
  <si>
    <t>Değirmiçem Mah. Mithat enç Cad. Yener Apt. Kat 1. İç kapı 1 Șehitkamil Gaziantep</t>
  </si>
  <si>
    <t>ismailcanan1905@gmail.com</t>
  </si>
  <si>
    <t>Otomativ Servis danışmanı</t>
  </si>
  <si>
    <t>Skoda Vimsa Otomativ</t>
  </si>
  <si>
    <t>rabiacanan@gmail.com</t>
  </si>
  <si>
    <t>Gaziantep Şehitkamil Karşıyaka mahalesi 41162 nolu sokak no:4 kat:3</t>
  </si>
  <si>
    <t>reisingulleriim@gmail.com</t>
  </si>
  <si>
    <t xml:space="preserve">Çalışmıyor </t>
  </si>
  <si>
    <t xml:space="preserve">Yukarıbayır mah 17014 nolu sokak No 8/B Şahinbey Gaziantep </t>
  </si>
  <si>
    <t>Yusuf Kemal KILIÇ</t>
  </si>
  <si>
    <t>Şehit Ömer Harun Demir İmam Hatip Ortaokulu</t>
  </si>
  <si>
    <t xml:space="preserve">Atılım Endüstriyel </t>
  </si>
  <si>
    <t>Diyanet İşleri Başkanlığı Şehitkamil Müftülüğğ</t>
  </si>
  <si>
    <t>Mücahitler Mah. 52073 Nl. Sok. No:18 Fildişi Apt. K:6 Dai:14 Şehitkamil</t>
  </si>
  <si>
    <t xml:space="preserve">Kozan </t>
  </si>
  <si>
    <t>nahsentopuz4@gmail.com</t>
  </si>
  <si>
    <t>Onur moda</t>
  </si>
  <si>
    <t>Pir Sultan mahallesi 59187 nolu sokak no 37 kat 2</t>
  </si>
  <si>
    <t xml:space="preserve">Merkez/ Elazığ </t>
  </si>
  <si>
    <t xml:space="preserve">Jandarma üstçavuş </t>
  </si>
  <si>
    <t xml:space="preserve">Gaziantep il jandarma komutanlığı </t>
  </si>
  <si>
    <t>kckogrtmn@hotmail.com</t>
  </si>
  <si>
    <t>Uzman öğretmen</t>
  </si>
  <si>
    <t>Hacı Kemal Kadooğlu Ortaokulu</t>
  </si>
  <si>
    <t xml:space="preserve">Seyrantepe Mahallesi 65001. Cadde TOKİ C21 Blok Daire: 38 Şehitkamil/ Gaziantep </t>
  </si>
  <si>
    <t>Mehmetaltunkopru1988@gmail.com</t>
  </si>
  <si>
    <t xml:space="preserve">Diyanet </t>
  </si>
  <si>
    <t>Pir Sultan Mahallesi 59148 nolu sokak 26/1 Şehitkamil Gaziantep</t>
  </si>
  <si>
    <t xml:space="preserve">Seyrantepe mah 65055 nolu sokak no 4 esinevler sitesi a blok </t>
  </si>
  <si>
    <t>mturan12346@gmail.com</t>
  </si>
  <si>
    <t>TCDD Makinist</t>
  </si>
  <si>
    <t>TCDD</t>
  </si>
  <si>
    <t>Kayaönü MH.79120 nolu SK.No.40 iç kapı no.4</t>
  </si>
  <si>
    <t>Turkan Mehmet Akcan Ortaokulu</t>
  </si>
  <si>
    <t xml:space="preserve">Sevil Arif Develi Ortaokulu </t>
  </si>
  <si>
    <t xml:space="preserve">Şehit Hüseyin Gümüş İmam Hatip Ortaokulu </t>
  </si>
  <si>
    <t xml:space="preserve">Ali Küncülü Ortaokulu </t>
  </si>
  <si>
    <t xml:space="preserve">Şehit Mehmet Nuri Atakan Ortaokulu </t>
  </si>
  <si>
    <t xml:space="preserve">Mete Uygun İlkokulu </t>
  </si>
  <si>
    <t xml:space="preserve">Mustafa Rüştü Taşar İlkokulu </t>
  </si>
  <si>
    <t xml:space="preserve">Ahmet Yesevi İlkokulu </t>
  </si>
  <si>
    <t xml:space="preserve">Hayri Küpeli İlkokulu </t>
  </si>
  <si>
    <t>Hasan Katıkçı İlkokulu</t>
  </si>
  <si>
    <t>Mehmet Batallı Ortaokulu</t>
  </si>
  <si>
    <t>Gönüllü Hizmet Vakfı İnal Aydınoğlu İlkokulu</t>
  </si>
  <si>
    <t>Sevil Arif Develi Ortaokulu</t>
  </si>
  <si>
    <t>Merveşehir Ortaokulu</t>
  </si>
  <si>
    <t>Servi Erdemoğlu Ortaokulu</t>
  </si>
  <si>
    <t>Mehmet Emin Zekiye Üstünel Ortaokulu</t>
  </si>
  <si>
    <t xml:space="preserve">Emine Konukoğlu İmam Hatip Ortaokulu </t>
  </si>
  <si>
    <t>Edebali İlkokulu</t>
  </si>
  <si>
    <t>Ömer Humanızli İlkokulu</t>
  </si>
  <si>
    <t>Ali İhsan Göğüş İlkokulu</t>
  </si>
  <si>
    <t>Mahmut Hümayun Özhelvacı Ortaokulu</t>
  </si>
  <si>
    <t>Sema Ahmet Danış Ortaokulu</t>
  </si>
  <si>
    <t xml:space="preserve">Vicdan Ahmet Güner Ortaokulu </t>
  </si>
  <si>
    <t>Sidar Ahad ŞİMŞEK</t>
  </si>
  <si>
    <t>Sirin HAMDAN</t>
  </si>
  <si>
    <t>Anıl DÜNDAR</t>
  </si>
  <si>
    <t>Kutay KALENDER</t>
  </si>
  <si>
    <t xml:space="preserve">Sena ARSLAN </t>
  </si>
  <si>
    <t>Gaziantep sahinbey</t>
  </si>
  <si>
    <t>Ankara</t>
  </si>
  <si>
    <t>Bağcılar</t>
  </si>
  <si>
    <t>Murat Kaan DOĞAN</t>
  </si>
  <si>
    <t>Ece Nas BAKDIM</t>
  </si>
  <si>
    <t>2025 – 2026 EĞİTİM ÖĞRETİM YILI</t>
  </si>
  <si>
    <t>TUGAY BİLİM VE SANAT MERKEZİ</t>
  </si>
  <si>
    <t>ÖĞRENCİ BİLGİLERİ</t>
  </si>
  <si>
    <t>Adı Soyadı</t>
  </si>
  <si>
    <t>T.C. Kimlik No</t>
  </si>
  <si>
    <t>Doğum Yeri</t>
  </si>
  <si>
    <t>Doğum Tarihi</t>
  </si>
  <si>
    <t xml:space="preserve">Okul Adı </t>
  </si>
  <si>
    <t>Sınıfı</t>
  </si>
  <si>
    <t>Kan Grubu</t>
  </si>
  <si>
    <t>Ev Adresi</t>
  </si>
  <si>
    <t>VELİ BİLGİLERİ</t>
  </si>
  <si>
    <t>BABA</t>
  </si>
  <si>
    <t>ANNE</t>
  </si>
  <si>
    <t xml:space="preserve">Adı Soyadı </t>
  </si>
  <si>
    <t>Mesleği</t>
  </si>
  <si>
    <t xml:space="preserve">İşyeri/Kurumu </t>
  </si>
  <si>
    <t xml:space="preserve">Cep Telefonu </t>
  </si>
  <si>
    <t xml:space="preserve">E-posta </t>
  </si>
  <si>
    <t xml:space="preserve">BİLSEM MUVAFAKAT BELGESİ </t>
  </si>
  <si>
    <t>Tugay Bilim ve Sanat Merkezine kayıt yaptırdığım ve bilgileri yukarıda belirtilen öğrencinin veliliğini, eğitime devamının tarafımdan sağlanacağını kabul ve taahhüt ederim. Öğrencinin kayıtlı olduğu sürece merkezinizce yapılacak kurum içi etkinliklere, uzaktan eğitim faaliyetlerine ve önceden bilgilendirilmek kaydıyla kurum dışı (laboratuvar çalışmaları, gözlem gezileri, projeler, yarışmalar, sergiler, kaynak kişi ve kurum ziyaretleri, fırsat eğitimleri vb.) eğitim etkinliklerine katılmasında tarafımca hiçbir sakınca bulunmadığını kabul ve taahhüt ederim.</t>
  </si>
  <si>
    <t>Veli Adı Soyadı İmza</t>
  </si>
  <si>
    <t>SOSYAL MEDYA VELİ İZİN BELGESİ</t>
  </si>
  <si>
    <t>Milli Eğitim Bakanlığının 2017/12 Sayılı Genelgesi uyarınca merkezinizde eğitim gören ve bilgileri yukarıda belirtilen öğrencinin eğitim öğretim faaliyetleri, eTwinning projeleri, bilimsel, sosyal ve kültürel faaliyetler kapsamında alınan ses, görüntü video kayıtlarının ve aynı zamanda hazırlamış olduğu eserlerin (hikâye, resim, fotoğraf, şiir, vb.) Milli Eğitim Bakanlığına bağlı kurum ve kuruluşlarca kullanılan kurumsal internet siteleri ve sosyal medya hesaplarında EBA ve eTwinning platformunda yayınlanmasına izin veriyorum.</t>
  </si>
  <si>
    <t>KAYIT YENİLEME FORMU</t>
  </si>
  <si>
    <t>Veli Seçimi</t>
  </si>
  <si>
    <t>Ulaşım</t>
  </si>
  <si>
    <t>Cinsiyet</t>
  </si>
  <si>
    <t>Çocuk Kimle Yaşıyor</t>
  </si>
  <si>
    <t>Anne Baba Birlikte</t>
  </si>
  <si>
    <t>Erkek</t>
  </si>
  <si>
    <t>Veli İle</t>
  </si>
  <si>
    <t>Ömer ŞAHİN</t>
  </si>
  <si>
    <t xml:space="preserve">Abdulkadir ŞAHİN </t>
  </si>
  <si>
    <t xml:space="preserve">Abdurrahman TAŞDEMİR </t>
  </si>
  <si>
    <t>Mehmet TAŞDEMİR</t>
  </si>
  <si>
    <t>Arzu ŞAHİN</t>
  </si>
  <si>
    <t>Ayşe TAŞDEMİR</t>
  </si>
  <si>
    <t>Ali İlter GENÇ</t>
  </si>
  <si>
    <t>Osman GENÇ</t>
  </si>
  <si>
    <t>Şeymagül YILMAZ</t>
  </si>
  <si>
    <t>Ali Said HOROZ</t>
  </si>
  <si>
    <t>Mustafa HOROZ</t>
  </si>
  <si>
    <t>Nurten HOROZ</t>
  </si>
  <si>
    <t>Turgay DÜNDAR</t>
  </si>
  <si>
    <t>Fatma DÜNDAR</t>
  </si>
  <si>
    <t>Aras DAMAT</t>
  </si>
  <si>
    <t>Fevzi Ozan DAMAT</t>
  </si>
  <si>
    <t>Aysun DAMAT</t>
  </si>
  <si>
    <t>Aysegul KAYA</t>
  </si>
  <si>
    <t>Mustafa KAYA</t>
  </si>
  <si>
    <t>Sibel KAYA</t>
  </si>
  <si>
    <t xml:space="preserve">Ayşe Gamze BOZAT </t>
  </si>
  <si>
    <t>Salih BOZAT</t>
  </si>
  <si>
    <t>Meltem BOZAT</t>
  </si>
  <si>
    <t xml:space="preserve">Ayşe Zümra KÖSEDAĞ </t>
  </si>
  <si>
    <t>Cuma KÖSEDAĞ</t>
  </si>
  <si>
    <t xml:space="preserve">Güldane GÖKDERE </t>
  </si>
  <si>
    <t xml:space="preserve">Behram Doruk SARI </t>
  </si>
  <si>
    <t>Mehmet SARI</t>
  </si>
  <si>
    <t xml:space="preserve">Meltem Bayrak SARI </t>
  </si>
  <si>
    <t>Beren Feyza GİDER</t>
  </si>
  <si>
    <t>Ümit GİDER</t>
  </si>
  <si>
    <t>Dilek GİDER</t>
  </si>
  <si>
    <t>Beytullah YILMAZ</t>
  </si>
  <si>
    <t>İbrahim YILMAZ</t>
  </si>
  <si>
    <t>Fatma YILMAZ</t>
  </si>
  <si>
    <t xml:space="preserve">Burak Enes PEHLİVAN </t>
  </si>
  <si>
    <t>Cuma PEHLİVAN</t>
  </si>
  <si>
    <t xml:space="preserve">Elmas PEHLİVAN </t>
  </si>
  <si>
    <t xml:space="preserve">Cafer Turgut ŞENTÜRK </t>
  </si>
  <si>
    <t>Turgut ŞENTÜRK</t>
  </si>
  <si>
    <t xml:space="preserve">Arzu ŞENTÜRK </t>
  </si>
  <si>
    <t xml:space="preserve">Cem Talha İNCİ </t>
  </si>
  <si>
    <t>Mesut İNCİ</t>
  </si>
  <si>
    <t xml:space="preserve">Zeynep İNCİ </t>
  </si>
  <si>
    <t>Yusuf TEHÇİ</t>
  </si>
  <si>
    <t>Nursel TEHÇİ</t>
  </si>
  <si>
    <t>Şükrü TOPGÜL</t>
  </si>
  <si>
    <t>Güven TOPGÜL</t>
  </si>
  <si>
    <t>Mehmet Yakup BAKDIM</t>
  </si>
  <si>
    <t xml:space="preserve">Leyla BAKDIM </t>
  </si>
  <si>
    <t>Elif OSANMAZ</t>
  </si>
  <si>
    <t>Adem OSANMAZ</t>
  </si>
  <si>
    <t>Tülay OSANMAZ</t>
  </si>
  <si>
    <t>Emced ALABDALRAHMAN</t>
  </si>
  <si>
    <t xml:space="preserve">Hosam ALABDALRAHMAN </t>
  </si>
  <si>
    <t xml:space="preserve">Ramia ALABDALRAHMAN </t>
  </si>
  <si>
    <t>Mahmut Sami DEMİR</t>
  </si>
  <si>
    <t>Ebru DEMİR</t>
  </si>
  <si>
    <t>Eymen DAĞ</t>
  </si>
  <si>
    <t>Abdulkadir DAĞ</t>
  </si>
  <si>
    <t>Leman DAĞ</t>
  </si>
  <si>
    <t xml:space="preserve">Fevzi Efe BOZDAĞ </t>
  </si>
  <si>
    <t>Ahmet BOZDAĞ</t>
  </si>
  <si>
    <t>Ayşegül BOZDAĞ</t>
  </si>
  <si>
    <t>Hatice Nisa YILMAZ</t>
  </si>
  <si>
    <t>Mustafa YILMAZ</t>
  </si>
  <si>
    <t>Leyla YILMAZ</t>
  </si>
  <si>
    <t>Hüseyin Mahir DERE</t>
  </si>
  <si>
    <t>Ahmet DERE</t>
  </si>
  <si>
    <t>Dilek DERE</t>
  </si>
  <si>
    <t xml:space="preserve">İbrahim SÖNMEZIŞIK </t>
  </si>
  <si>
    <t>Suha SÖNMEZIŞIK</t>
  </si>
  <si>
    <t>Fidan SÖNMEZIŞIK</t>
  </si>
  <si>
    <t>İkranur AKAY</t>
  </si>
  <si>
    <t>Hüseyin AKAY</t>
  </si>
  <si>
    <t>Hatice AKAY</t>
  </si>
  <si>
    <t xml:space="preserve">İsra AYŞİN </t>
  </si>
  <si>
    <t>Halil AYŞİN</t>
  </si>
  <si>
    <t xml:space="preserve">Zeynep AYŞİN </t>
  </si>
  <si>
    <t>Mehmet UNCU</t>
  </si>
  <si>
    <t>Ebru UNCU</t>
  </si>
  <si>
    <t>Mehmet Barış KALENDER</t>
  </si>
  <si>
    <t>Tuğba KALENDER</t>
  </si>
  <si>
    <t>Onur İNCE</t>
  </si>
  <si>
    <t>Nurdan İNCE</t>
  </si>
  <si>
    <t>Mehmet Ali FIRAT</t>
  </si>
  <si>
    <t>Fatih FIRAT</t>
  </si>
  <si>
    <t>Özlem FIRAT</t>
  </si>
  <si>
    <t>Mehmet Hamza FERİK</t>
  </si>
  <si>
    <t>Ökkeş FERİK</t>
  </si>
  <si>
    <t>Gülten FERİK</t>
  </si>
  <si>
    <t>Meral Defne YİĞİT</t>
  </si>
  <si>
    <t>Murat YİĞİT</t>
  </si>
  <si>
    <t xml:space="preserve"> Firdevs İklim YİĞİT</t>
  </si>
  <si>
    <t>Mihrimah Aybüke TOPAL</t>
  </si>
  <si>
    <t>İbrahim TOPAL</t>
  </si>
  <si>
    <t>Rukiye TOPAL</t>
  </si>
  <si>
    <t>Mahmut ESKİCİ</t>
  </si>
  <si>
    <t>HASRET ESKİCİ</t>
  </si>
  <si>
    <t>Muhammed Müslüm KESKİN</t>
  </si>
  <si>
    <t>Şükrü KESKİN</t>
  </si>
  <si>
    <t>Asiye KESKİN</t>
  </si>
  <si>
    <t>Mehmet DOĞAN</t>
  </si>
  <si>
    <t>Şükriye DOĞAN</t>
  </si>
  <si>
    <t xml:space="preserve">Nedime Eflin ELGÖRMÜŞ </t>
  </si>
  <si>
    <t>Halil İbrahim ELGÖRMÜŞ</t>
  </si>
  <si>
    <t xml:space="preserve">İpek ELGÖRMÜŞ </t>
  </si>
  <si>
    <t>Soner KILIÇ</t>
  </si>
  <si>
    <t>Huri Feyza KILIÇ</t>
  </si>
  <si>
    <t>Nuran HİLALOĞLU</t>
  </si>
  <si>
    <t>Erdem HİLALOĞLU</t>
  </si>
  <si>
    <t>Nesiye HİLALOĞLU</t>
  </si>
  <si>
    <t>Nurşen POLAT</t>
  </si>
  <si>
    <t>Erdal POLAT</t>
  </si>
  <si>
    <t>Özlem POLAT</t>
  </si>
  <si>
    <t xml:space="preserve">Onur İNCİRLİ </t>
  </si>
  <si>
    <t>Ejder İNCİRLİ</t>
  </si>
  <si>
    <t>Fatma İNCİRLİ</t>
  </si>
  <si>
    <t xml:space="preserve">Öykü AKDAĞ </t>
  </si>
  <si>
    <t>Serkan AKDAĞ</t>
  </si>
  <si>
    <t>Derya AKDAĞ</t>
  </si>
  <si>
    <t>Rabia Eylül GÖKDENİZ</t>
  </si>
  <si>
    <t>Ahmet GÖKDENİZ</t>
  </si>
  <si>
    <t>Döne GÖKDENİZ</t>
  </si>
  <si>
    <t xml:space="preserve">Ramazan Efe ÖĞÜT </t>
  </si>
  <si>
    <t>Necdet ÖĞÜT</t>
  </si>
  <si>
    <t>Mesude ÖĞÜT</t>
  </si>
  <si>
    <t>Sara Esra DOĞAN</t>
  </si>
  <si>
    <t>Recep ARSLAN</t>
  </si>
  <si>
    <t>Sevcan Suna ARSLAN</t>
  </si>
  <si>
    <t>Betül ŞİMŞEK</t>
  </si>
  <si>
    <t>Arif ŞİMŞEK</t>
  </si>
  <si>
    <t>Hani HAMDAN</t>
  </si>
  <si>
    <t>Esraa KEKHYA</t>
  </si>
  <si>
    <t>Ümit CANAN</t>
  </si>
  <si>
    <t>İsmail CANAN</t>
  </si>
  <si>
    <t>Rabia CANAN</t>
  </si>
  <si>
    <t xml:space="preserve">Yusuf Durdu PAYMAN </t>
  </si>
  <si>
    <t>Mehmet PAYMAN</t>
  </si>
  <si>
    <t xml:space="preserve">Fatma PAYMAN </t>
  </si>
  <si>
    <t xml:space="preserve">Yusuf Orhan TOPUZ </t>
  </si>
  <si>
    <t>Nahsen TOPUZ</t>
  </si>
  <si>
    <t>Ayşe TOPUZ</t>
  </si>
  <si>
    <t xml:space="preserve">Zeynep Ebrar ÇEÇEN </t>
  </si>
  <si>
    <t>Ersin ÇEÇEN</t>
  </si>
  <si>
    <t xml:space="preserve">Sevda ÇEÇEN </t>
  </si>
  <si>
    <t xml:space="preserve">Zeynep Erva ALTUNKÖPRÜ </t>
  </si>
  <si>
    <t>Mehmet ALTUNKÖPRÜ</t>
  </si>
  <si>
    <t>Behice ALTUNKÖPRÜ</t>
  </si>
  <si>
    <t xml:space="preserve">Zeynep KIZILDAĞ </t>
  </si>
  <si>
    <t>Selçuk KIZILDAĞ</t>
  </si>
  <si>
    <t>Aslıhan KIZILDAĞ</t>
  </si>
  <si>
    <t xml:space="preserve">Zeynep TURAN </t>
  </si>
  <si>
    <t>Mehmet TURAN</t>
  </si>
  <si>
    <t>Dilek TURAN</t>
  </si>
  <si>
    <t>Kız</t>
  </si>
  <si>
    <t>Boğaziçi Isı Sistemleri</t>
  </si>
  <si>
    <t xml:space="preserve">Seyrantepe Mah 65001 Nolu Cad C22 Blok D: 13 </t>
  </si>
  <si>
    <t>DÖNEMİ</t>
  </si>
  <si>
    <t>İSİM</t>
  </si>
  <si>
    <t>BİLSEM NO</t>
  </si>
  <si>
    <t>DURUMU</t>
  </si>
  <si>
    <t>BİLSEM KAYIT TAR</t>
  </si>
  <si>
    <t>ALAN1</t>
  </si>
  <si>
    <t>ALAN2</t>
  </si>
  <si>
    <t>ALAN3</t>
  </si>
  <si>
    <t>DANIŞMAN</t>
  </si>
  <si>
    <t>CİNSİYET</t>
  </si>
  <si>
    <t>ULAŞIM ŞEKLİ</t>
  </si>
  <si>
    <t>BABA ADI</t>
  </si>
  <si>
    <t>BABA MESLEK</t>
  </si>
  <si>
    <t>BABA KURUM</t>
  </si>
  <si>
    <t>BABA GÖREV</t>
  </si>
  <si>
    <t>ANNE ADI</t>
  </si>
  <si>
    <t>ANNE MESLEK</t>
  </si>
  <si>
    <t>ANNE KURUM</t>
  </si>
  <si>
    <t>ANNE GÖREV</t>
  </si>
  <si>
    <t>DOĞUM TARİH</t>
  </si>
  <si>
    <t>DOĞUM YER</t>
  </si>
  <si>
    <t>İL</t>
  </si>
  <si>
    <t>İLÇE</t>
  </si>
  <si>
    <t>VELİ KİM</t>
  </si>
  <si>
    <t>PROGRAMLARI</t>
  </si>
  <si>
    <t>DİĞER PROGRAMLARI-1</t>
  </si>
  <si>
    <t>DİĞER PROGRAMLARI-2</t>
  </si>
  <si>
    <t>DİĞER PROGRAMLARI-3</t>
  </si>
  <si>
    <t>E-OKUL SINIFI (şimdi)</t>
  </si>
  <si>
    <t>E-OKUL DEVRESİ (şimdi)</t>
  </si>
  <si>
    <t>2025-2026</t>
  </si>
  <si>
    <t>ABDULKADİR ŞAHİN</t>
  </si>
  <si>
    <t>Aktif</t>
  </si>
  <si>
    <t>GENEL YETENEK</t>
  </si>
  <si>
    <t>ENGİN GÜNGÖRDÜ</t>
  </si>
  <si>
    <t>ERKEK</t>
  </si>
  <si>
    <t>Veliyle</t>
  </si>
  <si>
    <t>ÖMER</t>
  </si>
  <si>
    <t>POLIS MEMURU</t>
  </si>
  <si>
    <t>GAZİANTEP TRAFİK ŞUBE</t>
  </si>
  <si>
    <t>POLİS</t>
  </si>
  <si>
    <t>ARZU</t>
  </si>
  <si>
    <t>HEMŞİRE</t>
  </si>
  <si>
    <t>ŞEHİTKAMİL DEVLET HASTANESİ</t>
  </si>
  <si>
    <t>ŞEHİTKAMİL</t>
  </si>
  <si>
    <t>GAZİANTEP</t>
  </si>
  <si>
    <t>B2/2-A1</t>
  </si>
  <si>
    <t>BYFP/1Atölye-A51</t>
  </si>
  <si>
    <t>6. Sınıf</t>
  </si>
  <si>
    <t>Tam Gün</t>
  </si>
  <si>
    <t>ABDURRAHMAN TAŞDEMİR</t>
  </si>
  <si>
    <t>MEHMET</t>
  </si>
  <si>
    <t>ESNAF</t>
  </si>
  <si>
    <t>AYŞE</t>
  </si>
  <si>
    <t>ÇALIŞMIYOR</t>
  </si>
  <si>
    <t>B1/5-A3</t>
  </si>
  <si>
    <t>5. Sınıf</t>
  </si>
  <si>
    <t>Sabah Grubu</t>
  </si>
  <si>
    <t>AHMED FURKAN AVCI</t>
  </si>
  <si>
    <t>AHMED AKİF</t>
  </si>
  <si>
    <t>ÖZEL SEKTÖR</t>
  </si>
  <si>
    <t>SEDA</t>
  </si>
  <si>
    <t>Ev Hanımı</t>
  </si>
  <si>
    <t>ŞAHİNBEY</t>
  </si>
  <si>
    <t>U/3-A3</t>
  </si>
  <si>
    <t>DESTEK/1Atölye-A52</t>
  </si>
  <si>
    <t>4. Sınıf</t>
  </si>
  <si>
    <t>ALİ EMİR CULFA</t>
  </si>
  <si>
    <t>BİLAL</t>
  </si>
  <si>
    <t>TEKSTIL MÜHENDISLIĞI</t>
  </si>
  <si>
    <t>Koç Madeni Yağlar</t>
  </si>
  <si>
    <t>Tekstil Mühendisi</t>
  </si>
  <si>
    <t>GİZEM</t>
  </si>
  <si>
    <t>U/2-A2</t>
  </si>
  <si>
    <t>BYFP/5Atölye-A56</t>
  </si>
  <si>
    <t>3. Sınıf</t>
  </si>
  <si>
    <t>ALİ SAİD HOROZ</t>
  </si>
  <si>
    <t>MUSTAFA</t>
  </si>
  <si>
    <t>NURTEN</t>
  </si>
  <si>
    <t>B2/2-A2</t>
  </si>
  <si>
    <t>BYFP/1Atölye-A52</t>
  </si>
  <si>
    <t>ALİ İLTER GENÇ</t>
  </si>
  <si>
    <t>OSMAN</t>
  </si>
  <si>
    <t>SERBEST</t>
  </si>
  <si>
    <t>ŞEYMA GÜL</t>
  </si>
  <si>
    <t>D2/4-A1</t>
  </si>
  <si>
    <t>ANIL DÜNDAR</t>
  </si>
  <si>
    <t>TURGAY</t>
  </si>
  <si>
    <t>MEMUR</t>
  </si>
  <si>
    <t>CUMHURBAŞKANLIĞI PERSONELİ (MEMUR)</t>
  </si>
  <si>
    <t>FATMA</t>
  </si>
  <si>
    <t>MEB</t>
  </si>
  <si>
    <t>ANKARA</t>
  </si>
  <si>
    <t>B2/3-A4</t>
  </si>
  <si>
    <t>BYFP/4Atölye-A54</t>
  </si>
  <si>
    <t>BYFP/4Atölye-A57</t>
  </si>
  <si>
    <t>ARAS DAMAT</t>
  </si>
  <si>
    <t>MAHMUT ÖZER</t>
  </si>
  <si>
    <t>FEVZİ OZAN</t>
  </si>
  <si>
    <t>DOKTOR</t>
  </si>
  <si>
    <t>MİTHATPAŞA ASM</t>
  </si>
  <si>
    <t>AYSUN</t>
  </si>
  <si>
    <t>GAZİANTEP ÜNİVERSİTESİ</t>
  </si>
  <si>
    <t>ANESTEZİYOLOJİ</t>
  </si>
  <si>
    <t>B1/2-S1</t>
  </si>
  <si>
    <t>DESTEK/3Atölye-S51</t>
  </si>
  <si>
    <t>Öğlen Grubu</t>
  </si>
  <si>
    <t>AYŞE GAMZE BOZAT</t>
  </si>
  <si>
    <t>KIZ</t>
  </si>
  <si>
    <t>SALİH</t>
  </si>
  <si>
    <t>HASAN KATIKÇI İLKOKULU</t>
  </si>
  <si>
    <t>OKUL MÜDÜRÜ</t>
  </si>
  <si>
    <t>MELTEM</t>
  </si>
  <si>
    <t>SANİ KONUKOĞLU ORTAOKULU</t>
  </si>
  <si>
    <t>B1/3-A1</t>
  </si>
  <si>
    <t>BYFP/5Atölye-A55</t>
  </si>
  <si>
    <t>AYŞE ZÜMRA KÖSEDAĞ</t>
  </si>
  <si>
    <t>CUMA</t>
  </si>
  <si>
    <t>GÜLDANE</t>
  </si>
  <si>
    <t>AYŞEGÜL KAYA</t>
  </si>
  <si>
    <t>İŞÇİ</t>
  </si>
  <si>
    <t>BAŞARAN HALI</t>
  </si>
  <si>
    <t>SİBEL</t>
  </si>
  <si>
    <t>B2/3-A3</t>
  </si>
  <si>
    <t>BYFP/4Atölye-A53</t>
  </si>
  <si>
    <t>BYFP/5Atölye-A58</t>
  </si>
  <si>
    <t>BEHRAM DORUK SARİ</t>
  </si>
  <si>
    <t>RAMAZAN SAĞI</t>
  </si>
  <si>
    <t>MAKINE MÜHENDISLIĞI</t>
  </si>
  <si>
    <t>TCDD İzmir</t>
  </si>
  <si>
    <t>DESTEK/2Atölye-A53</t>
  </si>
  <si>
    <t>BEREN FEYZA GİDER</t>
  </si>
  <si>
    <t>ÜMİT</t>
  </si>
  <si>
    <t>ŞİRECİ TEKSTİL</t>
  </si>
  <si>
    <t>KALİTE KONTROL</t>
  </si>
  <si>
    <t>DİLEK</t>
  </si>
  <si>
    <t>BEYTULLAH YILMAZ</t>
  </si>
  <si>
    <t>İBRAHİM</t>
  </si>
  <si>
    <t>KAMU İŞÇİSİ</t>
  </si>
  <si>
    <t>B1/2-S2</t>
  </si>
  <si>
    <t>BURAK ENES PEHLİVAN</t>
  </si>
  <si>
    <t>EMNİYET MÜDÜRLÜĞÜ</t>
  </si>
  <si>
    <t>ELMAS</t>
  </si>
  <si>
    <t>İL SAĞLIK MÜDÜRLÜĞÜ</t>
  </si>
  <si>
    <t>ATT</t>
  </si>
  <si>
    <t>CAFER TURGUT ŞENTÜRK</t>
  </si>
  <si>
    <t>TURGUT</t>
  </si>
  <si>
    <t>B1/3-A2</t>
  </si>
  <si>
    <t>CEM TALHA İNCİ</t>
  </si>
  <si>
    <t>MESUT</t>
  </si>
  <si>
    <t>ÜNAL SENTETİK</t>
  </si>
  <si>
    <t>AMBALAJ</t>
  </si>
  <si>
    <t>ZEYNEP</t>
  </si>
  <si>
    <t>CEREN TEHÇİ</t>
  </si>
  <si>
    <t>YUSUF</t>
  </si>
  <si>
    <t>Gaziantep Emniyet Müdürlüğü</t>
  </si>
  <si>
    <t>NURSEL</t>
  </si>
  <si>
    <t>DESTEK/3Atölye-S52</t>
  </si>
  <si>
    <t>DEFNE SU TOPGÜL</t>
  </si>
  <si>
    <t>ŞÜKRÜ</t>
  </si>
  <si>
    <t>GÜVEN</t>
  </si>
  <si>
    <t>Hacı Sani Konukoğlu MTAL</t>
  </si>
  <si>
    <t>DESTEK/3Atölye-A56</t>
  </si>
  <si>
    <t>EBRAR ASEL DÜŞKÜN</t>
  </si>
  <si>
    <t>İLHAN</t>
  </si>
  <si>
    <t>Ezogelin Kebap</t>
  </si>
  <si>
    <t>Kebapçı</t>
  </si>
  <si>
    <t>LEYLA</t>
  </si>
  <si>
    <t>U/1-A1</t>
  </si>
  <si>
    <t>2. Sınıf</t>
  </si>
  <si>
    <t>ECE NAS BAKDIM</t>
  </si>
  <si>
    <t>MEHMET YAKUP</t>
  </si>
  <si>
    <t>ŞANS OYUNLARI BAYİSİ</t>
  </si>
  <si>
    <t>ELİF OSANMAZ</t>
  </si>
  <si>
    <t>ADEM</t>
  </si>
  <si>
    <t>İNŞAAT İŞÇİSİ</t>
  </si>
  <si>
    <t>TÜLAY</t>
  </si>
  <si>
    <t>EMCED ALABDALRAHMAN</t>
  </si>
  <si>
    <t>HOSAM</t>
  </si>
  <si>
    <t>RAMİA</t>
  </si>
  <si>
    <t>ŞEHİTKAMİL İLÇE SAĞLIK MÜDÜRLÜĞÜ</t>
  </si>
  <si>
    <t>B1/5-A4</t>
  </si>
  <si>
    <t>ENES SELİM DEMİR</t>
  </si>
  <si>
    <t>MAHMUT SAMİ</t>
  </si>
  <si>
    <t>HAKİM</t>
  </si>
  <si>
    <t>BÖLGE ADLİYE MAH. TEL: 0342 290 30 00 - 6773</t>
  </si>
  <si>
    <t>EBRU</t>
  </si>
  <si>
    <t>ÜSKÜDAR</t>
  </si>
  <si>
    <t>ERDEM MERCİMEKOĞLU</t>
  </si>
  <si>
    <t>Şireci Tekstil</t>
  </si>
  <si>
    <t>RUKİYE</t>
  </si>
  <si>
    <t>DESTEK/3Atölye-A55</t>
  </si>
  <si>
    <t>ESRA NUR TÜMER</t>
  </si>
  <si>
    <t>Abdurrezak TÜMER</t>
  </si>
  <si>
    <t>Ayıntab Optik</t>
  </si>
  <si>
    <t>Derya TÜMER</t>
  </si>
  <si>
    <t>U/2-S1</t>
  </si>
  <si>
    <t>EYMEN DAĞ</t>
  </si>
  <si>
    <t>ABDULKADİR</t>
  </si>
  <si>
    <t>EMEKLİ</t>
  </si>
  <si>
    <t>TERZİ</t>
  </si>
  <si>
    <t>LEMAN</t>
  </si>
  <si>
    <t>EYMEN DURMAZ</t>
  </si>
  <si>
    <t>VEYSEL AYDIN</t>
  </si>
  <si>
    <t>LOJİSTİK</t>
  </si>
  <si>
    <t>DUA</t>
  </si>
  <si>
    <t>ADIYAMAN</t>
  </si>
  <si>
    <t>FEVZİ EFE BOZDAĞ</t>
  </si>
  <si>
    <t>AHMET</t>
  </si>
  <si>
    <t>Polikamp Fabrika</t>
  </si>
  <si>
    <t>AYŞEGÜL</t>
  </si>
  <si>
    <t>GÖKTUĞ AYRANCIOĞLU</t>
  </si>
  <si>
    <t>HÜSEYİN ALPER</t>
  </si>
  <si>
    <t>DİŞ HEKİMİ</t>
  </si>
  <si>
    <t>Diş Hekimi Muayenehane</t>
  </si>
  <si>
    <t>Diş Hekimi</t>
  </si>
  <si>
    <t>ADİLE</t>
  </si>
  <si>
    <t>DESTEK/1Atölye-A51</t>
  </si>
  <si>
    <t>GÜLCE EVA BAYAR</t>
  </si>
  <si>
    <t>FERHAT</t>
  </si>
  <si>
    <t>DUYGU</t>
  </si>
  <si>
    <t>ADANA</t>
  </si>
  <si>
    <t>HALE ABZAKH</t>
  </si>
  <si>
    <t>JEHAD ABZAKH</t>
  </si>
  <si>
    <t>-</t>
  </si>
  <si>
    <t>Noor MOHAMAD</t>
  </si>
  <si>
    <t>Nizip</t>
  </si>
  <si>
    <t>D2/5-A2</t>
  </si>
  <si>
    <t>HATİCE NİSA YILMAZ</t>
  </si>
  <si>
    <t>MUHASEBE</t>
  </si>
  <si>
    <t>STFC Petrol Ürünleri ltd. şti</t>
  </si>
  <si>
    <t>HÜSEYİN MAHİR DERE</t>
  </si>
  <si>
    <t>KAAN KADİR BALSU</t>
  </si>
  <si>
    <t>SERKAN</t>
  </si>
  <si>
    <t>Serkan Kuruyemiş</t>
  </si>
  <si>
    <t>TÜRKAN</t>
  </si>
  <si>
    <t>ACİL TIP TEKNİSYENİ</t>
  </si>
  <si>
    <t>İstasyon ASM</t>
  </si>
  <si>
    <t>KEMAL YİĞİT UNCU</t>
  </si>
  <si>
    <t>ŞEHİTKAMİL BELEDİYESİ</t>
  </si>
  <si>
    <t>YÜKSEK MÜHENDİS</t>
  </si>
  <si>
    <t>NİZİP DEVLET HASTANESİ</t>
  </si>
  <si>
    <t>KUTAY KALENDER</t>
  </si>
  <si>
    <t>MEHMET BARIŞ</t>
  </si>
  <si>
    <t>TUĞBA</t>
  </si>
  <si>
    <t>MAHMUT CANAN</t>
  </si>
  <si>
    <t>İSMAİL</t>
  </si>
  <si>
    <t>VİMSA Otomotiv</t>
  </si>
  <si>
    <t>RABİA</t>
  </si>
  <si>
    <t>MEHDİCAN İNCE</t>
  </si>
  <si>
    <t>ONUR</t>
  </si>
  <si>
    <t>NURDAN</t>
  </si>
  <si>
    <t>SAĞLIK TEKNİSYENİ</t>
  </si>
  <si>
    <t>İSTANBUL</t>
  </si>
  <si>
    <t>MEHMET ALİ FIRAT</t>
  </si>
  <si>
    <t>FATİH</t>
  </si>
  <si>
    <t>ÖZLEM</t>
  </si>
  <si>
    <t>DEVLET MEMURU</t>
  </si>
  <si>
    <t>Gaziantep Adliyesi</t>
  </si>
  <si>
    <t>Zabıt Katibi</t>
  </si>
  <si>
    <t>MEHMET HAMZA FERİK</t>
  </si>
  <si>
    <t>ÖKKEŞ</t>
  </si>
  <si>
    <t>YEMEKHANE GÖREVLİSİ</t>
  </si>
  <si>
    <t>GÜLTEN</t>
  </si>
  <si>
    <t>MELİH KAĞAN KOÇAK</t>
  </si>
  <si>
    <t>Gökhan</t>
  </si>
  <si>
    <t>Adalet Bakanlığı-Muğla İdare Mahkemeleri</t>
  </si>
  <si>
    <t>Eda</t>
  </si>
  <si>
    <t>AVUKAT</t>
  </si>
  <si>
    <t>Muğla İl Sağlık Müdürlüğü</t>
  </si>
  <si>
    <t>Avukat</t>
  </si>
  <si>
    <t>Kayseri</t>
  </si>
  <si>
    <t>MUĞLA</t>
  </si>
  <si>
    <t>MENTEŞE</t>
  </si>
  <si>
    <t>MERAL DEFNE YİĞİT</t>
  </si>
  <si>
    <t>MURAT</t>
  </si>
  <si>
    <t>ÇEVRE MÜH.</t>
  </si>
  <si>
    <t>DEFNE DON. LTD. ŞTİ.</t>
  </si>
  <si>
    <t>FİRDEVS İKLİM</t>
  </si>
  <si>
    <t>DEFNE DON LTD ŞTİ</t>
  </si>
  <si>
    <t>MERT ALİ BEYAZOĞLU</t>
  </si>
  <si>
    <t>Aile Ve Sosyal Hizmetler İl Müdürlüğü</t>
  </si>
  <si>
    <t>BURCU</t>
  </si>
  <si>
    <t>MİMAR</t>
  </si>
  <si>
    <t>Müdür</t>
  </si>
  <si>
    <t>METEHAN KARAKAYA</t>
  </si>
  <si>
    <t>Ömer Seyfettin İmam Hatip Ortaokulu</t>
  </si>
  <si>
    <t>HATİCE</t>
  </si>
  <si>
    <t>GAİB MKAL Anasınıfı</t>
  </si>
  <si>
    <t>MUHAMMED ESKİCİ</t>
  </si>
  <si>
    <t>MAHMUT</t>
  </si>
  <si>
    <t>İL EMNİYET MÜDÜRLÜĞÜ</t>
  </si>
  <si>
    <t>HASRET</t>
  </si>
  <si>
    <t>YEŞİLYURT</t>
  </si>
  <si>
    <t>MUHAMMED MÜSLÜM KESKİN</t>
  </si>
  <si>
    <t>ASİYE</t>
  </si>
  <si>
    <t>DESTEK/2Atölye-A54</t>
  </si>
  <si>
    <t>MURAT KAAN DOĞAN</t>
  </si>
  <si>
    <t>ŞÜKRİYE</t>
  </si>
  <si>
    <t>AVUSTURYA</t>
  </si>
  <si>
    <t>MUSTAFA ARAS GÜNGÖR</t>
  </si>
  <si>
    <t>FİKRET</t>
  </si>
  <si>
    <t>VETERİNER</t>
  </si>
  <si>
    <t>Veteriner Hekim</t>
  </si>
  <si>
    <t>ÇİĞDEM</t>
  </si>
  <si>
    <t>Büyükşehir Belediyesi</t>
  </si>
  <si>
    <t>MUSTAFA YILMAZ</t>
  </si>
  <si>
    <t>ETHEM</t>
  </si>
  <si>
    <t>MEHMET BATALLI</t>
  </si>
  <si>
    <t>EDEBALİ İLKOKULU</t>
  </si>
  <si>
    <t>MİHRİMAH AYBÜKE TOPAL</t>
  </si>
  <si>
    <t>NEDİME EFLİN ELGÖRMÜŞ</t>
  </si>
  <si>
    <t>HALİL İBRAHİM</t>
  </si>
  <si>
    <t>ÇİFTÇİ</t>
  </si>
  <si>
    <t>İPEK</t>
  </si>
  <si>
    <t>NUMAN KEREM AKYOL</t>
  </si>
  <si>
    <t>KAMİL</t>
  </si>
  <si>
    <t>MÜNİRE</t>
  </si>
  <si>
    <t>KAHRAMANMARAŞ</t>
  </si>
  <si>
    <t>Ulaşılamadı</t>
  </si>
  <si>
    <t>NUR REYYAN KILIÇ</t>
  </si>
  <si>
    <t>SONER</t>
  </si>
  <si>
    <t>ATILIM END.</t>
  </si>
  <si>
    <t>SATIŞ UZMANI</t>
  </si>
  <si>
    <t>HURİ FEYZA</t>
  </si>
  <si>
    <t>DİYANET</t>
  </si>
  <si>
    <t>KUR'AN-I KERİM ÖĞRETİCİSİ</t>
  </si>
  <si>
    <t>NURAN HİLALOĞLU</t>
  </si>
  <si>
    <t>İşçi</t>
  </si>
  <si>
    <t>NURŞEN POLAT</t>
  </si>
  <si>
    <t>ERDAL</t>
  </si>
  <si>
    <t>DİĞER</t>
  </si>
  <si>
    <t>ONUR İNCİRLİ</t>
  </si>
  <si>
    <t>EJDER</t>
  </si>
  <si>
    <t>TEKNİKER</t>
  </si>
  <si>
    <t>KESKİN TEL ÖRGÜ</t>
  </si>
  <si>
    <t>TEKNİSYEN</t>
  </si>
  <si>
    <t>GAZİYURT İLKOKULU</t>
  </si>
  <si>
    <t>RABİA EYLÜL GÖKDENİZ</t>
  </si>
  <si>
    <t>DÖNE</t>
  </si>
  <si>
    <t>RAMAZAN EFE ÖĞÜT</t>
  </si>
  <si>
    <t>NECDET</t>
  </si>
  <si>
    <t>MESUDE</t>
  </si>
  <si>
    <t>Tarım ve Orman Bakanlığı</t>
  </si>
  <si>
    <t>SARA ESRA DOĞAN</t>
  </si>
  <si>
    <t>RESİM</t>
  </si>
  <si>
    <t>Ö2/1-RES-A1</t>
  </si>
  <si>
    <t>SENA ARSLAN</t>
  </si>
  <si>
    <t>RECEP</t>
  </si>
  <si>
    <t>SEVCAN SUNA</t>
  </si>
  <si>
    <t>SİDAR AHAD ŞİMŞEK</t>
  </si>
  <si>
    <t>ARİF</t>
  </si>
  <si>
    <t>İNŞAAT MÜHENDISLIĞI</t>
  </si>
  <si>
    <t>Katılım Yapı Denetim</t>
  </si>
  <si>
    <t>İnşaat Mühendisi</t>
  </si>
  <si>
    <t>BETÜL</t>
  </si>
  <si>
    <t>SİRİN HAMDAN</t>
  </si>
  <si>
    <t>Ye?ilsu Di? Kliniği</t>
  </si>
  <si>
    <t>ŞAM</t>
  </si>
  <si>
    <t>TURGUTALP ASIM ŞENTÜRK</t>
  </si>
  <si>
    <t>Zebrano Mobilya</t>
  </si>
  <si>
    <t>YUSUF DURDU PAYMAN</t>
  </si>
  <si>
    <t>YUSUF KEMAL KILIÇ</t>
  </si>
  <si>
    <t>Atılım Endüstri Temizlik</t>
  </si>
  <si>
    <t>Diyanet</t>
  </si>
  <si>
    <t>YUSUF ORHAN TOPUZ</t>
  </si>
  <si>
    <t>NAHSEN</t>
  </si>
  <si>
    <t>DREAMON LTD</t>
  </si>
  <si>
    <t>PROGRAMCI</t>
  </si>
  <si>
    <t>KOZAN</t>
  </si>
  <si>
    <t>ZELİHA ARSLAN</t>
  </si>
  <si>
    <t>Mediways Ortapedi</t>
  </si>
  <si>
    <t>Terzi</t>
  </si>
  <si>
    <t>YILDIZ</t>
  </si>
  <si>
    <t>ZEYNEP EBRAR ÇEÇEN</t>
  </si>
  <si>
    <t>ERSİN</t>
  </si>
  <si>
    <t>ASKERI PERSONEL</t>
  </si>
  <si>
    <t>BEYŞEHİR İLÇE JANDARMA KOM.</t>
  </si>
  <si>
    <t>ASTSUBAY</t>
  </si>
  <si>
    <t>SEVDA</t>
  </si>
  <si>
    <t>üZÜMLÜ CENGİZ TOPEL ORTAOKULU</t>
  </si>
  <si>
    <t>ELAZIĞ</t>
  </si>
  <si>
    <t>KONYA</t>
  </si>
  <si>
    <t>BEYŞEHİR</t>
  </si>
  <si>
    <t>ZEYNEP ERVA ALTUNKÖPRÜ</t>
  </si>
  <si>
    <t>DİN GÖREVLİSİ</t>
  </si>
  <si>
    <t>BEHİCE</t>
  </si>
  <si>
    <t>ZEYNEP ESLEM DEMİR</t>
  </si>
  <si>
    <t>ALİ</t>
  </si>
  <si>
    <t>NESİYBE</t>
  </si>
  <si>
    <t>Ö5/1-RES-A1</t>
  </si>
  <si>
    <t>9. Sınıf</t>
  </si>
  <si>
    <t>ZEYNEP KIZILDAĞ</t>
  </si>
  <si>
    <t>SELÇUK</t>
  </si>
  <si>
    <t>MELİKE TEKSTİL</t>
  </si>
  <si>
    <t>ASLIHAN</t>
  </si>
  <si>
    <t>ZEYNEP TURAN</t>
  </si>
  <si>
    <t>mehmet turan</t>
  </si>
  <si>
    <t>BAKIM ONARIM</t>
  </si>
  <si>
    <t>MAKİNİST/</t>
  </si>
  <si>
    <t>dilek turan</t>
  </si>
  <si>
    <t>ÖMER FARUK TOPAL</t>
  </si>
  <si>
    <t>RESUL</t>
  </si>
  <si>
    <t>Merinos</t>
  </si>
  <si>
    <t>AYŞE NUR</t>
  </si>
  <si>
    <t>İl Orman İşletme Müdürlüğü</t>
  </si>
  <si>
    <t>Orman Mühendisi</t>
  </si>
  <si>
    <t>ÖYKÜ AKDAĞ</t>
  </si>
  <si>
    <t>GAZİANTEP 5. NOTERLİĞİ</t>
  </si>
  <si>
    <t>NOTER KATİBİ</t>
  </si>
  <si>
    <t>DERYA</t>
  </si>
  <si>
    <t>ÖZEL KLİNİK</t>
  </si>
  <si>
    <t>HASTA DANIŞMANI</t>
  </si>
  <si>
    <t>ÜMİT CANAN</t>
  </si>
  <si>
    <t>OPEL SERVİS</t>
  </si>
  <si>
    <t>SERVİS DANIŞMANI</t>
  </si>
  <si>
    <t>İBRAHİM ORHUN BAĞCI</t>
  </si>
  <si>
    <t>Cafer BAĞCI</t>
  </si>
  <si>
    <t>Özel Ofis</t>
  </si>
  <si>
    <t>Seda BAĞCI</t>
  </si>
  <si>
    <t>İl Tarım ve Orman Müdürlüğü</t>
  </si>
  <si>
    <t>İBRAHİM SHANNAK</t>
  </si>
  <si>
    <t>AMMAR</t>
  </si>
  <si>
    <t>MÜHENDİS</t>
  </si>
  <si>
    <t>BATOUL</t>
  </si>
  <si>
    <t>SURİYE</t>
  </si>
  <si>
    <t>İBRAHİM SÖNMEZIŞIK</t>
  </si>
  <si>
    <t>SUHA</t>
  </si>
  <si>
    <t>Mehmet Ali Alevli İlkokulu</t>
  </si>
  <si>
    <t>FİDAN</t>
  </si>
  <si>
    <t>ASM</t>
  </si>
  <si>
    <t>İKRANUR AKAY</t>
  </si>
  <si>
    <t>HÜSEYİN</t>
  </si>
  <si>
    <t>İKRANUR ÖZDEMİR</t>
  </si>
  <si>
    <t>İbrahim ÖZDEMİR</t>
  </si>
  <si>
    <t>Hacer ÖZDEMİR</t>
  </si>
  <si>
    <t>İSMAİL KEREM TANAŞ</t>
  </si>
  <si>
    <t>2N Mali Müşavirlik</t>
  </si>
  <si>
    <t>MERVE</t>
  </si>
  <si>
    <t>İSRA AYŞİN</t>
  </si>
  <si>
    <t>HALİL</t>
  </si>
  <si>
    <t>İPEKYOLU</t>
  </si>
  <si>
    <t>T.C. KİMLİK NO</t>
  </si>
  <si>
    <t>KAN GRUBU</t>
  </si>
  <si>
    <t>OKUL ADI</t>
  </si>
  <si>
    <t>KİMLE YAŞIYOR</t>
  </si>
  <si>
    <t>EV ADRESİ</t>
  </si>
  <si>
    <t>BABA CEP TELEFONU</t>
  </si>
  <si>
    <t>BABA e-POSTA</t>
  </si>
  <si>
    <t>ANNE CEP TELEFONU</t>
  </si>
  <si>
    <t>ANNE e-POSTA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</si>
</sst>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dd/mm/yyyy;@"/>
    <numFmt numFmtId="166" formatCode="###\ ###\ ##\ ##"/>
  </numFmts>
  <fonts count="20" x14ac:knownFonts="1">
    <font>
      <sz val="10"/>
      <color rgb="FF000000"/>
      <name val="Arial"/>
      <scheme val="minor"/>
    </font>
    <font>
      <sz val="11"/>
      <color theme="1"/>
      <name val="Arial"/>
      <family val="2"/>
      <charset val="162"/>
      <scheme val="minor"/>
    </font>
    <font>
      <sz val="11"/>
      <color theme="1"/>
      <name val="Arial"/>
      <family val="2"/>
      <charset val="162"/>
      <scheme val="minor"/>
    </font>
    <font>
      <sz val="10"/>
      <color theme="1"/>
      <name val="Arial"/>
      <scheme val="minor"/>
    </font>
    <font>
      <sz val="10"/>
      <color theme="1"/>
      <name val="Arial"/>
      <family val="2"/>
      <charset val="162"/>
      <scheme val="minor"/>
    </font>
    <font>
      <sz val="11"/>
      <color theme="0"/>
      <name val="Arial"/>
      <family val="2"/>
      <charset val="162"/>
      <scheme val="minor"/>
    </font>
    <font>
      <sz val="10"/>
      <color theme="1"/>
      <name val="Arial"/>
      <family val="2"/>
      <charset val="162"/>
    </font>
    <font>
      <sz val="11"/>
      <color theme="1"/>
      <name val="Arial"/>
      <family val="2"/>
      <charset val="162"/>
    </font>
    <font>
      <sz val="12"/>
      <color theme="1"/>
      <name val="Arial"/>
      <family val="2"/>
      <charset val="162"/>
    </font>
    <font>
      <sz val="11"/>
      <name val="Arial"/>
      <family val="2"/>
      <charset val="162"/>
      <scheme val="minor"/>
    </font>
    <font>
      <b/>
      <sz val="24"/>
      <color theme="1"/>
      <name val="Arial"/>
      <family val="2"/>
      <charset val="162"/>
    </font>
    <font>
      <b/>
      <sz val="14"/>
      <color theme="1"/>
      <name val="Arial"/>
      <family val="2"/>
      <charset val="162"/>
    </font>
    <font>
      <b/>
      <sz val="11"/>
      <color theme="1"/>
      <name val="Arial"/>
      <family val="2"/>
      <charset val="162"/>
    </font>
    <font>
      <b/>
      <sz val="10"/>
      <color theme="1"/>
      <name val="Arial"/>
      <family val="2"/>
      <charset val="162"/>
    </font>
    <font>
      <sz val="5"/>
      <color theme="1"/>
      <name val="Arial"/>
      <family val="2"/>
      <charset val="162"/>
    </font>
    <font>
      <sz val="10"/>
      <color theme="0"/>
      <name val="Arial"/>
      <family val="2"/>
      <charset val="162"/>
      <scheme val="minor"/>
    </font>
    <font>
      <sz val="10"/>
      <color rgb="FF000000"/>
      <name val="Arial"/>
      <family val="2"/>
      <charset val="162"/>
      <scheme val="minor"/>
    </font>
    <font>
      <b/>
      <sz val="11"/>
      <color rgb="FFFFDAB9"/>
      <name val="Times New Roman"/>
      <family val="1"/>
      <charset val="162"/>
    </font>
    <font>
      <sz val="11"/>
      <color rgb="FF000000"/>
      <name val="Times New Roman"/>
      <family val="1"/>
      <charset val="162"/>
    </font>
    <font>
      <sz val="11"/>
      <color theme="1"/>
      <name val="Times New Roman"/>
      <family val="1"/>
      <charset val="162"/>
    </font>
  </fonts>
  <fills count="4">
    <fill>
      <patternFill patternType="none"/>
    </fill>
    <fill>
      <patternFill patternType="gray125"/>
    </fill>
    <fill>
      <patternFill patternType="solid">
        <fgColor theme="0"/>
        <bgColor indexed="64"/>
      </patternFill>
    </fill>
    <fill>
      <patternFill patternType="solid">
        <fgColor rgb="FF125C9C"/>
        <bgColor indexed="64"/>
      </patternFill>
    </fill>
  </fills>
  <borders count="25">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 fillId="0" borderId="0"/>
  </cellStyleXfs>
  <cellXfs count="84">
    <xf numFmtId="0" fontId="0" fillId="0" borderId="0" xfId="0"/>
    <xf numFmtId="164" fontId="3" fillId="0" borderId="4" xfId="0" applyNumberFormat="1"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164" fontId="3" fillId="0" borderId="7" xfId="0" applyNumberFormat="1"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5" xfId="0" quotePrefix="1" applyFont="1" applyBorder="1" applyAlignment="1">
      <alignment horizontal="right" vertical="center"/>
    </xf>
    <xf numFmtId="0" fontId="3" fillId="0" borderId="8" xfId="0" quotePrefix="1" applyFont="1" applyBorder="1" applyAlignment="1">
      <alignment vertical="center"/>
    </xf>
    <xf numFmtId="0" fontId="3" fillId="0" borderId="5" xfId="0" quotePrefix="1" applyFont="1" applyBorder="1" applyAlignment="1">
      <alignment vertical="center"/>
    </xf>
    <xf numFmtId="165" fontId="3" fillId="0" borderId="5" xfId="0" applyNumberFormat="1" applyFont="1" applyBorder="1" applyAlignment="1">
      <alignment vertical="center"/>
    </xf>
    <xf numFmtId="165" fontId="3" fillId="0" borderId="8" xfId="0" applyNumberFormat="1" applyFont="1" applyBorder="1" applyAlignment="1">
      <alignment vertical="center"/>
    </xf>
    <xf numFmtId="0" fontId="4" fillId="0" borderId="5" xfId="0" applyFont="1" applyBorder="1" applyAlignment="1">
      <alignment vertical="center"/>
    </xf>
    <xf numFmtId="0" fontId="4" fillId="0" borderId="8" xfId="0" applyFont="1" applyBorder="1" applyAlignment="1">
      <alignment vertical="center"/>
    </xf>
    <xf numFmtId="0" fontId="7" fillId="2" borderId="0" xfId="1" applyFont="1" applyFill="1" applyAlignment="1">
      <alignment vertical="center" wrapText="1"/>
    </xf>
    <xf numFmtId="0" fontId="9" fillId="2" borderId="0" xfId="1" applyFont="1" applyFill="1"/>
    <xf numFmtId="0" fontId="2" fillId="2" borderId="0" xfId="1" applyFill="1"/>
    <xf numFmtId="0" fontId="9" fillId="2" borderId="0" xfId="1" applyFont="1" applyFill="1" applyProtection="1">
      <protection locked="0"/>
    </xf>
    <xf numFmtId="0" fontId="5" fillId="2" borderId="0" xfId="1" applyFont="1" applyFill="1"/>
    <xf numFmtId="0" fontId="12" fillId="2" borderId="14" xfId="1" applyFont="1" applyFill="1" applyBorder="1" applyAlignment="1">
      <alignment vertical="center" wrapText="1"/>
    </xf>
    <xf numFmtId="0" fontId="12" fillId="2" borderId="10" xfId="1" applyFont="1" applyFill="1" applyBorder="1" applyAlignment="1">
      <alignment horizontal="center" vertical="center" wrapText="1"/>
    </xf>
    <xf numFmtId="0" fontId="13" fillId="2" borderId="14" xfId="1" applyFont="1" applyFill="1" applyBorder="1" applyAlignment="1">
      <alignment vertical="center" wrapText="1"/>
    </xf>
    <xf numFmtId="0" fontId="12" fillId="2" borderId="15" xfId="1" applyFont="1" applyFill="1" applyBorder="1" applyAlignment="1">
      <alignment horizontal="center" vertical="center" wrapText="1"/>
    </xf>
    <xf numFmtId="166" fontId="7" fillId="2" borderId="15" xfId="1" applyNumberFormat="1" applyFont="1" applyFill="1" applyBorder="1" applyAlignment="1">
      <alignment horizontal="left" vertical="center" wrapText="1"/>
    </xf>
    <xf numFmtId="0" fontId="7" fillId="2" borderId="19" xfId="1" applyFont="1" applyFill="1" applyBorder="1" applyAlignment="1">
      <alignment vertical="center" wrapText="1"/>
    </xf>
    <xf numFmtId="14" fontId="7" fillId="2" borderId="19" xfId="1" applyNumberFormat="1" applyFont="1" applyFill="1" applyBorder="1" applyAlignment="1">
      <alignment vertical="center" wrapText="1"/>
    </xf>
    <xf numFmtId="0" fontId="9" fillId="2" borderId="0" xfId="1" applyFont="1" applyFill="1" applyAlignment="1">
      <alignment horizontal="left"/>
    </xf>
    <xf numFmtId="1" fontId="9" fillId="2" borderId="0" xfId="1" applyNumberFormat="1" applyFont="1" applyFill="1" applyAlignment="1">
      <alignment horizontal="left"/>
    </xf>
    <xf numFmtId="14" fontId="9" fillId="2" borderId="0" xfId="1" applyNumberFormat="1" applyFont="1" applyFill="1" applyAlignment="1">
      <alignment horizontal="left"/>
    </xf>
    <xf numFmtId="165" fontId="9" fillId="2" borderId="0" xfId="1" applyNumberFormat="1" applyFont="1" applyFill="1" applyAlignment="1">
      <alignment horizontal="left"/>
    </xf>
    <xf numFmtId="0" fontId="15" fillId="0" borderId="1" xfId="0" applyFont="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0" xfId="0" applyFont="1"/>
    <xf numFmtId="0" fontId="7" fillId="2" borderId="15" xfId="1" applyFont="1" applyFill="1" applyBorder="1" applyAlignment="1">
      <alignment horizontal="left" vertical="center" wrapText="1"/>
    </xf>
    <xf numFmtId="0" fontId="16" fillId="0" borderId="0" xfId="0" applyFont="1"/>
    <xf numFmtId="0" fontId="11" fillId="2" borderId="10" xfId="1" applyFont="1" applyFill="1" applyBorder="1" applyAlignment="1">
      <alignment horizontal="center" vertical="center" wrapText="1"/>
    </xf>
    <xf numFmtId="0" fontId="7" fillId="2" borderId="0" xfId="1" applyFont="1" applyFill="1" applyAlignment="1">
      <alignment vertical="center" wrapText="1"/>
    </xf>
    <xf numFmtId="0" fontId="8" fillId="2" borderId="0" xfId="1" applyFont="1" applyFill="1" applyAlignment="1" applyProtection="1">
      <alignment horizontal="center" vertical="center" wrapText="1"/>
      <protection locked="0"/>
    </xf>
    <xf numFmtId="0" fontId="8" fillId="2" borderId="0" xfId="1" applyFont="1" applyFill="1" applyAlignment="1">
      <alignment horizontal="center" vertical="center" wrapText="1"/>
    </xf>
    <xf numFmtId="0" fontId="10" fillId="2" borderId="0" xfId="1" applyFont="1" applyFill="1" applyAlignment="1">
      <alignment horizontal="center" vertical="center" wrapText="1"/>
    </xf>
    <xf numFmtId="0" fontId="12" fillId="2" borderId="11" xfId="1" applyFont="1" applyFill="1" applyBorder="1" applyAlignment="1">
      <alignment horizontal="center" vertical="center" wrapText="1"/>
    </xf>
    <xf numFmtId="0" fontId="12" fillId="2" borderId="12" xfId="1" applyFont="1" applyFill="1" applyBorder="1" applyAlignment="1">
      <alignment horizontal="center" vertical="center" wrapText="1"/>
    </xf>
    <xf numFmtId="0" fontId="12" fillId="2" borderId="13" xfId="1" applyFont="1" applyFill="1" applyBorder="1" applyAlignment="1">
      <alignment horizontal="center" vertical="center" wrapText="1"/>
    </xf>
    <xf numFmtId="0" fontId="7" fillId="2" borderId="11" xfId="1" applyFont="1" applyFill="1" applyBorder="1" applyAlignment="1">
      <alignment horizontal="left" vertical="center" wrapText="1"/>
    </xf>
    <xf numFmtId="0" fontId="7" fillId="2" borderId="13" xfId="1" applyFont="1" applyFill="1" applyBorder="1" applyAlignment="1">
      <alignment horizontal="left" vertical="center" wrapText="1"/>
    </xf>
    <xf numFmtId="0" fontId="12" fillId="2" borderId="11" xfId="1" applyFont="1" applyFill="1" applyBorder="1" applyAlignment="1">
      <alignment vertical="center" wrapText="1"/>
    </xf>
    <xf numFmtId="0" fontId="12" fillId="2" borderId="13" xfId="1" applyFont="1" applyFill="1" applyBorder="1" applyAlignment="1">
      <alignment vertical="center" wrapText="1"/>
    </xf>
    <xf numFmtId="1" fontId="7" fillId="2" borderId="11" xfId="1" applyNumberFormat="1" applyFont="1" applyFill="1" applyBorder="1" applyAlignment="1">
      <alignment horizontal="left" vertical="center" wrapText="1"/>
    </xf>
    <xf numFmtId="165" fontId="7" fillId="2" borderId="11" xfId="1" applyNumberFormat="1" applyFont="1" applyFill="1" applyBorder="1" applyAlignment="1">
      <alignment horizontal="left" vertical="center" wrapText="1"/>
    </xf>
    <xf numFmtId="165" fontId="7" fillId="2" borderId="13" xfId="1" applyNumberFormat="1" applyFont="1" applyFill="1" applyBorder="1" applyAlignment="1">
      <alignment horizontal="left" vertical="center" wrapText="1"/>
    </xf>
    <xf numFmtId="0" fontId="6" fillId="2" borderId="11" xfId="1" applyFont="1" applyFill="1" applyBorder="1" applyAlignment="1">
      <alignment horizontal="left" vertical="center" wrapText="1"/>
    </xf>
    <xf numFmtId="0" fontId="6" fillId="2" borderId="13" xfId="1" applyFont="1" applyFill="1" applyBorder="1" applyAlignment="1">
      <alignment horizontal="left" vertical="center" wrapText="1"/>
    </xf>
    <xf numFmtId="14" fontId="6" fillId="2" borderId="11" xfId="1" applyNumberFormat="1" applyFont="1" applyFill="1" applyBorder="1" applyAlignment="1">
      <alignment horizontal="left" vertical="center" wrapText="1"/>
    </xf>
    <xf numFmtId="0" fontId="6" fillId="2" borderId="12" xfId="1" applyFont="1" applyFill="1" applyBorder="1" applyAlignment="1">
      <alignment horizontal="left" vertical="center" wrapText="1"/>
    </xf>
    <xf numFmtId="0" fontId="7" fillId="2" borderId="12" xfId="1" applyFont="1" applyFill="1" applyBorder="1" applyAlignment="1">
      <alignment horizontal="left" vertical="center" wrapText="1"/>
    </xf>
    <xf numFmtId="0" fontId="7" fillId="2" borderId="16" xfId="1" applyFont="1" applyFill="1" applyBorder="1" applyAlignment="1">
      <alignment horizontal="justify" vertical="center" wrapText="1"/>
    </xf>
    <xf numFmtId="0" fontId="7" fillId="2" borderId="17" xfId="1" applyFont="1" applyFill="1" applyBorder="1" applyAlignment="1">
      <alignment horizontal="justify" vertical="center" wrapText="1"/>
    </xf>
    <xf numFmtId="0" fontId="7" fillId="2" borderId="18" xfId="1" applyFont="1" applyFill="1" applyBorder="1" applyAlignment="1">
      <alignment horizontal="justify" vertical="center" wrapText="1"/>
    </xf>
    <xf numFmtId="166" fontId="7" fillId="2" borderId="11" xfId="1" applyNumberFormat="1" applyFont="1" applyFill="1" applyBorder="1" applyAlignment="1">
      <alignment horizontal="left" vertical="center" wrapText="1"/>
    </xf>
    <xf numFmtId="166" fontId="7" fillId="2" borderId="12" xfId="1" applyNumberFormat="1" applyFont="1" applyFill="1" applyBorder="1" applyAlignment="1">
      <alignment horizontal="left" vertical="center" wrapText="1"/>
    </xf>
    <xf numFmtId="166" fontId="7" fillId="2" borderId="13" xfId="1" applyNumberFormat="1" applyFont="1" applyFill="1" applyBorder="1" applyAlignment="1">
      <alignment horizontal="left" vertical="center" wrapText="1"/>
    </xf>
    <xf numFmtId="0" fontId="11" fillId="2" borderId="12" xfId="1" applyFont="1" applyFill="1" applyBorder="1" applyAlignment="1">
      <alignment horizontal="center" vertical="center" wrapText="1"/>
    </xf>
    <xf numFmtId="0" fontId="7" fillId="2" borderId="19" xfId="1" applyFont="1" applyFill="1" applyBorder="1" applyAlignment="1">
      <alignment horizontal="justify" vertical="center" wrapText="1"/>
    </xf>
    <xf numFmtId="0" fontId="7" fillId="2" borderId="0" xfId="1" applyFont="1" applyFill="1" applyAlignment="1">
      <alignment horizontal="justify" vertical="center" wrapText="1"/>
    </xf>
    <xf numFmtId="0" fontId="7" fillId="2" borderId="20" xfId="1" applyFont="1" applyFill="1" applyBorder="1" applyAlignment="1">
      <alignment horizontal="justify" vertical="center" wrapText="1"/>
    </xf>
    <xf numFmtId="0" fontId="7" fillId="2" borderId="0" xfId="1" applyFont="1" applyFill="1" applyAlignment="1">
      <alignment horizontal="center" vertical="center" wrapText="1"/>
    </xf>
    <xf numFmtId="0" fontId="7" fillId="2" borderId="20" xfId="1" applyFont="1" applyFill="1" applyBorder="1" applyAlignment="1">
      <alignment horizontal="center" vertical="center" wrapText="1"/>
    </xf>
    <xf numFmtId="165" fontId="7" fillId="2" borderId="0" xfId="1" applyNumberFormat="1" applyFont="1" applyFill="1" applyAlignment="1">
      <alignment horizontal="center" vertical="center" wrapText="1"/>
    </xf>
    <xf numFmtId="165" fontId="7" fillId="2" borderId="20" xfId="1" applyNumberFormat="1" applyFont="1" applyFill="1" applyBorder="1" applyAlignment="1">
      <alignment horizontal="center" vertical="center" wrapText="1"/>
    </xf>
    <xf numFmtId="0" fontId="14" fillId="2" borderId="21" xfId="1" applyFont="1" applyFill="1" applyBorder="1" applyAlignment="1">
      <alignment horizontal="justify" vertical="center" wrapText="1"/>
    </xf>
    <xf numFmtId="0" fontId="14" fillId="2" borderId="10" xfId="1" applyFont="1" applyFill="1" applyBorder="1" applyAlignment="1">
      <alignment horizontal="justify" vertical="center" wrapText="1"/>
    </xf>
    <xf numFmtId="0" fontId="14" fillId="2" borderId="15" xfId="1" applyFont="1" applyFill="1" applyBorder="1" applyAlignment="1">
      <alignment horizontal="justify" vertical="center" wrapText="1"/>
    </xf>
    <xf numFmtId="14" fontId="6" fillId="2" borderId="12" xfId="1" applyNumberFormat="1" applyFont="1" applyFill="1" applyBorder="1" applyAlignment="1">
      <alignment horizontal="left" vertical="center" wrapText="1"/>
    </xf>
    <xf numFmtId="0" fontId="17" fillId="3" borderId="22" xfId="2" applyFont="1" applyFill="1" applyBorder="1" applyAlignment="1">
      <alignment horizontal="center" vertical="center" wrapText="1"/>
    </xf>
    <xf numFmtId="0" fontId="17" fillId="3" borderId="0" xfId="2" applyFont="1" applyFill="1"/>
    <xf numFmtId="0" fontId="18" fillId="0" borderId="22" xfId="2" applyFont="1" applyBorder="1" applyAlignment="1">
      <alignment wrapText="1"/>
    </xf>
    <xf numFmtId="14" fontId="18" fillId="0" borderId="22" xfId="2" applyNumberFormat="1" applyFont="1" applyBorder="1" applyAlignment="1">
      <alignment wrapText="1"/>
    </xf>
    <xf numFmtId="0" fontId="18" fillId="0" borderId="0" xfId="2" applyFont="1"/>
    <xf numFmtId="0" fontId="19" fillId="0" borderId="0" xfId="2" applyFont="1"/>
    <xf numFmtId="0" fontId="17" fillId="3" borderId="24" xfId="2" applyFont="1" applyFill="1" applyBorder="1" applyAlignment="1">
      <alignment horizontal="center" vertical="center" wrapText="1"/>
    </xf>
    <xf numFmtId="0" fontId="17" fillId="3" borderId="23" xfId="2" applyFont="1" applyFill="1" applyBorder="1" applyAlignment="1">
      <alignment horizontal="center" vertical="center"/>
    </xf>
    <xf numFmtId="0" fontId="18" fillId="0" borderId="24" xfId="2" applyFont="1" applyBorder="1" applyAlignment="1">
      <alignment wrapText="1"/>
    </xf>
    <xf numFmtId="0" fontId="18" fillId="0" borderId="23" xfId="2" applyFont="1" applyBorder="1"/>
  </cellXfs>
  <cellStyles count="3">
    <cellStyle name="Normal" xfId="0" builtinId="0"/>
    <cellStyle name="Normal 2" xfId="1" xr:uid="{E5AF8F5E-75E4-4A4E-8D79-C20D77F2D941}"/>
    <cellStyle name="Normal 3" xfId="2" xr:uid="{ABA93DA1-63D9-4D87-8F14-3E23BBB682A7}"/>
  </cellStyles>
  <dxfs count="5">
    <dxf>
      <numFmt numFmtId="165" formatCode="dd/mm/yyyy;@"/>
    </dxf>
    <dxf>
      <font>
        <strike val="0"/>
        <outline val="0"/>
        <shadow val="0"/>
        <u val="none"/>
        <vertAlign val="baseline"/>
        <sz val="10"/>
        <color theme="0"/>
        <name val="Arial"/>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Yanıtları 1-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List" dx="22" fmlaLink="$L$3" fmlaRange="FormYanıtları1!$B$2:$B$61" noThreeD="1" sel="1" val="0"/>
</file>

<file path=xl/ctrlProps/ctrlProp2.xml><?xml version="1.0" encoding="utf-8"?>
<formControlPr xmlns="http://schemas.microsoft.com/office/spreadsheetml/2009/9/main" objectType="List" dx="22" fmlaLink="$L$3" fmlaRange="eBilsem!$B$2:$B$86" noThreeD="1" sel="7" val="2"/>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0</xdr:rowOff>
    </xdr:from>
    <xdr:to>
      <xdr:col>1</xdr:col>
      <xdr:colOff>1085850</xdr:colOff>
      <xdr:row>3</xdr:row>
      <xdr:rowOff>209550</xdr:rowOff>
    </xdr:to>
    <xdr:pic>
      <xdr:nvPicPr>
        <xdr:cNvPr id="2" name="Resim 2">
          <a:extLst>
            <a:ext uri="{FF2B5EF4-FFF2-40B4-BE49-F238E27FC236}">
              <a16:creationId xmlns:a16="http://schemas.microsoft.com/office/drawing/2014/main" id="{216EBFA5-1967-475D-B408-8987BE778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0"/>
          <a:ext cx="1019175"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457200</xdr:colOff>
      <xdr:row>0</xdr:row>
      <xdr:rowOff>0</xdr:rowOff>
    </xdr:from>
    <xdr:to>
      <xdr:col>8</xdr:col>
      <xdr:colOff>1</xdr:colOff>
      <xdr:row>3</xdr:row>
      <xdr:rowOff>209550</xdr:rowOff>
    </xdr:to>
    <xdr:pic>
      <xdr:nvPicPr>
        <xdr:cNvPr id="3" name="Resim 1">
          <a:extLst>
            <a:ext uri="{FF2B5EF4-FFF2-40B4-BE49-F238E27FC236}">
              <a16:creationId xmlns:a16="http://schemas.microsoft.com/office/drawing/2014/main" id="{54D45170-3D61-45A6-99ED-5D85F8D4C5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91250" y="0"/>
          <a:ext cx="1123951"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10</xdr:col>
          <xdr:colOff>95250</xdr:colOff>
          <xdr:row>0</xdr:row>
          <xdr:rowOff>152400</xdr:rowOff>
        </xdr:from>
        <xdr:to>
          <xdr:col>11</xdr:col>
          <xdr:colOff>600075</xdr:colOff>
          <xdr:row>3</xdr:row>
          <xdr:rowOff>76200</xdr:rowOff>
        </xdr:to>
        <xdr:sp macro="" textlink="">
          <xdr:nvSpPr>
            <xdr:cNvPr id="1025" name="List Box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19050</xdr:colOff>
      <xdr:row>0</xdr:row>
      <xdr:rowOff>0</xdr:rowOff>
    </xdr:from>
    <xdr:to>
      <xdr:col>1</xdr:col>
      <xdr:colOff>1085850</xdr:colOff>
      <xdr:row>3</xdr:row>
      <xdr:rowOff>209550</xdr:rowOff>
    </xdr:to>
    <xdr:pic>
      <xdr:nvPicPr>
        <xdr:cNvPr id="2" name="Resim 2">
          <a:extLst>
            <a:ext uri="{FF2B5EF4-FFF2-40B4-BE49-F238E27FC236}">
              <a16:creationId xmlns:a16="http://schemas.microsoft.com/office/drawing/2014/main" id="{2A1CAABB-EEE2-4D32-8144-C44DA8884B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0"/>
          <a:ext cx="1019175"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457200</xdr:colOff>
      <xdr:row>0</xdr:row>
      <xdr:rowOff>0</xdr:rowOff>
    </xdr:from>
    <xdr:to>
      <xdr:col>8</xdr:col>
      <xdr:colOff>1</xdr:colOff>
      <xdr:row>3</xdr:row>
      <xdr:rowOff>209550</xdr:rowOff>
    </xdr:to>
    <xdr:pic>
      <xdr:nvPicPr>
        <xdr:cNvPr id="3" name="Resim 1">
          <a:extLst>
            <a:ext uri="{FF2B5EF4-FFF2-40B4-BE49-F238E27FC236}">
              <a16:creationId xmlns:a16="http://schemas.microsoft.com/office/drawing/2014/main" id="{50E0820F-1BB7-4691-B0CF-61AEED16ED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91250" y="0"/>
          <a:ext cx="1123951"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10</xdr:col>
          <xdr:colOff>95250</xdr:colOff>
          <xdr:row>0</xdr:row>
          <xdr:rowOff>152400</xdr:rowOff>
        </xdr:from>
        <xdr:to>
          <xdr:col>11</xdr:col>
          <xdr:colOff>600075</xdr:colOff>
          <xdr:row>3</xdr:row>
          <xdr:rowOff>76200</xdr:rowOff>
        </xdr:to>
        <xdr:sp macro="" textlink="">
          <xdr:nvSpPr>
            <xdr:cNvPr id="2049" name="List Box 1" hidden="1">
              <a:extLst>
                <a:ext uri="{63B3BB69-23CF-44E3-9099-C40C66FF867C}">
                  <a14:compatExt spid="_x0000_s2049"/>
                </a:ext>
                <a:ext uri="{FF2B5EF4-FFF2-40B4-BE49-F238E27FC236}">
                  <a16:creationId xmlns:a16="http://schemas.microsoft.com/office/drawing/2014/main" id="{33400B52-1B7A-47EE-964D-E9FA0DB974D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59" headerRowDxfId="1">
  <autoFilter ref="A1:AA59" xr:uid="{00000000-0009-0000-0100-000001000000}"/>
  <tableColumns count="27">
    <tableColumn id="1" xr3:uid="{00000000-0010-0000-0000-000001000000}" name="Zaman damgası"/>
    <tableColumn id="2" xr3:uid="{00000000-0010-0000-0000-000002000000}" name="Öğrencinin Adı Soyadı"/>
    <tableColumn id="3" xr3:uid="{00000000-0010-0000-0000-000003000000}" name="Öğrencinin T.C. Kimlik Numarası"/>
    <tableColumn id="4" xr3:uid="{00000000-0010-0000-0000-000004000000}" name="Öğrencinin Doğum Tarihi" dataDxfId="0"/>
    <tableColumn id="5" xr3:uid="{00000000-0010-0000-0000-000005000000}" name="Öğrencinin Doğum Yeri"/>
    <tableColumn id="6" xr3:uid="{00000000-0010-0000-0000-000006000000}" name="Öğrencinin Sınıfı"/>
    <tableColumn id="7" xr3:uid="{00000000-0010-0000-0000-000007000000}" name="Öğrencinin Okulu"/>
    <tableColumn id="8" xr3:uid="{00000000-0010-0000-0000-000008000000}" name="Öğrencinin Devam Ettiği Okul Devresi"/>
    <tableColumn id="9" xr3:uid="{00000000-0010-0000-0000-000009000000}" name="Öğrencinin Baba Adı"/>
    <tableColumn id="10" xr3:uid="{00000000-0010-0000-0000-00000A000000}" name="Öğrencinin Baba Cep Telefonu"/>
    <tableColumn id="11" xr3:uid="{00000000-0010-0000-0000-00000B000000}" name="Varsa Öğrencinin Baba E-posta Adresi"/>
    <tableColumn id="12" xr3:uid="{00000000-0010-0000-0000-00000C000000}" name="Öğrencinin Baba Mesleği"/>
    <tableColumn id="13" xr3:uid="{00000000-0010-0000-0000-00000D000000}" name="Öğrencinin Babasının Çalıştığı Kurum Adı"/>
    <tableColumn id="14" xr3:uid="{00000000-0010-0000-0000-00000E000000}" name="Öğrencinin Babasının Durumu"/>
    <tableColumn id="15" xr3:uid="{00000000-0010-0000-0000-00000F000000}" name="Öğrencinin Anne Adı"/>
    <tableColumn id="16" xr3:uid="{00000000-0010-0000-0000-000010000000}" name="Öğrencinin Anne Cep Telefonu"/>
    <tableColumn id="17" xr3:uid="{00000000-0010-0000-0000-000011000000}" name="Varsa Öğrencinin Anne E-posta Adresi"/>
    <tableColumn id="18" xr3:uid="{00000000-0010-0000-0000-000012000000}" name="Öğrencinin Anne Mesleği"/>
    <tableColumn id="19" xr3:uid="{00000000-0010-0000-0000-000013000000}" name="Öğrencinin Annesinin Çalıştığı Kurum Adı"/>
    <tableColumn id="20" xr3:uid="{00000000-0010-0000-0000-000014000000}" name="Öğrencinin Annesinin Durumu"/>
    <tableColumn id="21" xr3:uid="{00000000-0010-0000-0000-000015000000}" name="Öğrencinin Velisi"/>
    <tableColumn id="22" xr3:uid="{00000000-0010-0000-0000-000016000000}" name="Öğrencinin Ev Adresi"/>
    <tableColumn id="23" xr3:uid="{00000000-0010-0000-0000-000017000000}" name="Varsa Öğrencinin Cep Telefonu"/>
    <tableColumn id="24" xr3:uid="{79A98CE6-8C31-4358-9772-55195ECCAD13}" name="Kan Grubu"/>
    <tableColumn id="25" xr3:uid="{76943B48-013F-449D-9EC4-89A83CF8653B}" name="Ulaşım"/>
    <tableColumn id="26" xr3:uid="{5162A4C4-9A23-4C57-8848-938159AB7468}" name="Cinsiyet"/>
    <tableColumn id="27" xr3:uid="{CC4AFF33-C4DD-405E-B863-BA4ECADFE5BC}" name="Çocuk Kimle Yaşıyor"/>
  </tableColumns>
  <tableStyleInfo name="Form Yanıtları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59"/>
  <sheetViews>
    <sheetView workbookViewId="0">
      <pane ySplit="1" topLeftCell="A2" activePane="bottomLeft" state="frozen"/>
      <selection pane="bottomLeft" activeCell="C14" sqref="C14"/>
    </sheetView>
  </sheetViews>
  <sheetFormatPr defaultColWidth="12.5703125" defaultRowHeight="15.75" customHeight="1" x14ac:dyDescent="0.2"/>
  <cols>
    <col min="1" max="1" width="18.85546875" customWidth="1"/>
    <col min="2" max="2" width="26.85546875" customWidth="1"/>
    <col min="3" max="3" width="28.42578125" customWidth="1"/>
    <col min="4" max="4" width="23.140625" customWidth="1"/>
    <col min="5" max="5" width="22" customWidth="1"/>
    <col min="6" max="6" width="18.85546875" customWidth="1"/>
    <col min="7" max="7" width="49.140625" customWidth="1"/>
    <col min="8" max="8" width="32" customWidth="1"/>
    <col min="9" max="9" width="20.140625" customWidth="1"/>
    <col min="10" max="10" width="27.140625" customWidth="1"/>
    <col min="11" max="11" width="32.7109375" customWidth="1"/>
    <col min="12" max="12" width="23.42578125" customWidth="1"/>
    <col min="13" max="13" width="34.85546875" customWidth="1"/>
    <col min="14" max="14" width="26.85546875" customWidth="1"/>
    <col min="15" max="15" width="20.140625" customWidth="1"/>
    <col min="16" max="16" width="27.28515625" customWidth="1"/>
    <col min="17" max="17" width="32.7109375" customWidth="1"/>
    <col min="18" max="18" width="23.42578125" customWidth="1"/>
    <col min="19" max="19" width="34.85546875" customWidth="1"/>
    <col min="20" max="20" width="26.85546875" customWidth="1"/>
    <col min="21" max="21" width="18.85546875" customWidth="1"/>
    <col min="22" max="22" width="123.28515625" bestFit="1" customWidth="1"/>
    <col min="23" max="23" width="27.5703125" customWidth="1"/>
    <col min="24" max="29" width="18.85546875" customWidth="1"/>
  </cols>
  <sheetData>
    <row r="1" spans="1:27" s="33" customFormat="1" x14ac:dyDescent="0.2">
      <c r="A1" s="30"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c r="P1" s="31" t="s">
        <v>15</v>
      </c>
      <c r="Q1" s="31" t="s">
        <v>16</v>
      </c>
      <c r="R1" s="31" t="s">
        <v>17</v>
      </c>
      <c r="S1" s="31" t="s">
        <v>18</v>
      </c>
      <c r="T1" s="31" t="s">
        <v>19</v>
      </c>
      <c r="U1" s="31" t="s">
        <v>20</v>
      </c>
      <c r="V1" s="31" t="s">
        <v>21</v>
      </c>
      <c r="W1" s="32" t="s">
        <v>22</v>
      </c>
      <c r="X1" s="32" t="s">
        <v>376</v>
      </c>
      <c r="Y1" s="32" t="s">
        <v>393</v>
      </c>
      <c r="Z1" s="32" t="s">
        <v>394</v>
      </c>
      <c r="AA1" s="32" t="s">
        <v>395</v>
      </c>
    </row>
    <row r="2" spans="1:27" x14ac:dyDescent="0.2">
      <c r="A2" s="1">
        <v>45902.614579629633</v>
      </c>
      <c r="B2" s="12" t="s">
        <v>400</v>
      </c>
      <c r="C2" s="2">
        <v>38791353098</v>
      </c>
      <c r="D2" s="10">
        <v>41911</v>
      </c>
      <c r="E2" s="2" t="s">
        <v>23</v>
      </c>
      <c r="F2" s="2" t="s">
        <v>24</v>
      </c>
      <c r="G2" s="2" t="s">
        <v>347</v>
      </c>
      <c r="H2" s="2" t="s">
        <v>25</v>
      </c>
      <c r="I2" s="12" t="s">
        <v>399</v>
      </c>
      <c r="J2" s="2">
        <v>5076900418</v>
      </c>
      <c r="K2" s="2"/>
      <c r="L2" s="2" t="s">
        <v>26</v>
      </c>
      <c r="M2" s="2" t="s">
        <v>27</v>
      </c>
      <c r="N2" s="2" t="s">
        <v>28</v>
      </c>
      <c r="O2" s="12" t="s">
        <v>403</v>
      </c>
      <c r="P2" s="2">
        <v>5076900417</v>
      </c>
      <c r="Q2" s="2" t="s">
        <v>29</v>
      </c>
      <c r="R2" s="2" t="s">
        <v>30</v>
      </c>
      <c r="S2" s="2" t="s">
        <v>31</v>
      </c>
      <c r="T2" s="2" t="s">
        <v>28</v>
      </c>
      <c r="U2" s="2" t="s">
        <v>32</v>
      </c>
      <c r="V2" s="2" t="s">
        <v>33</v>
      </c>
      <c r="W2" s="3"/>
      <c r="Y2" t="s">
        <v>398</v>
      </c>
      <c r="Z2" t="s">
        <v>397</v>
      </c>
      <c r="AA2" s="35" t="s">
        <v>396</v>
      </c>
    </row>
    <row r="3" spans="1:27" x14ac:dyDescent="0.2">
      <c r="A3" s="4">
        <v>45903.743292488427</v>
      </c>
      <c r="B3" s="13" t="s">
        <v>401</v>
      </c>
      <c r="C3" s="5">
        <v>23635858594</v>
      </c>
      <c r="D3" s="11">
        <v>42111</v>
      </c>
      <c r="E3" s="5" t="s">
        <v>34</v>
      </c>
      <c r="F3" s="5" t="s">
        <v>35</v>
      </c>
      <c r="G3" s="5" t="s">
        <v>274</v>
      </c>
      <c r="H3" s="5" t="s">
        <v>36</v>
      </c>
      <c r="I3" s="13" t="s">
        <v>402</v>
      </c>
      <c r="J3" s="5">
        <v>5368653882</v>
      </c>
      <c r="L3" s="5" t="s">
        <v>37</v>
      </c>
      <c r="M3" s="5" t="s">
        <v>38</v>
      </c>
      <c r="N3" s="5" t="s">
        <v>28</v>
      </c>
      <c r="O3" s="13" t="s">
        <v>404</v>
      </c>
      <c r="P3" s="5">
        <v>5386310554</v>
      </c>
      <c r="Q3" s="5" t="s">
        <v>39</v>
      </c>
      <c r="R3" s="5" t="s">
        <v>40</v>
      </c>
      <c r="T3" s="5" t="s">
        <v>28</v>
      </c>
      <c r="U3" s="5" t="s">
        <v>41</v>
      </c>
      <c r="V3" s="5" t="s">
        <v>42</v>
      </c>
    </row>
    <row r="4" spans="1:27" x14ac:dyDescent="0.2">
      <c r="A4" s="1">
        <v>45904.61827013889</v>
      </c>
      <c r="B4" s="12" t="s">
        <v>405</v>
      </c>
      <c r="C4" s="2">
        <v>76927004612</v>
      </c>
      <c r="D4" s="10">
        <v>42337</v>
      </c>
      <c r="E4" s="2" t="s">
        <v>34</v>
      </c>
      <c r="F4" s="2" t="s">
        <v>43</v>
      </c>
      <c r="G4" s="2" t="s">
        <v>339</v>
      </c>
      <c r="H4" s="2" t="s">
        <v>36</v>
      </c>
      <c r="I4" s="12" t="s">
        <v>406</v>
      </c>
      <c r="J4" s="2">
        <v>5053155959</v>
      </c>
      <c r="K4" s="2" t="s">
        <v>44</v>
      </c>
      <c r="L4" s="2" t="s">
        <v>45</v>
      </c>
      <c r="M4" s="2" t="s">
        <v>46</v>
      </c>
      <c r="N4" s="2" t="s">
        <v>28</v>
      </c>
      <c r="O4" s="12" t="s">
        <v>407</v>
      </c>
      <c r="P4" s="2">
        <v>5053155959</v>
      </c>
      <c r="R4" s="2" t="s">
        <v>47</v>
      </c>
      <c r="S4" s="2" t="s">
        <v>48</v>
      </c>
      <c r="T4" s="2" t="s">
        <v>49</v>
      </c>
      <c r="U4" s="2" t="s">
        <v>32</v>
      </c>
      <c r="V4" s="2" t="s">
        <v>50</v>
      </c>
    </row>
    <row r="5" spans="1:27" x14ac:dyDescent="0.2">
      <c r="A5" s="4">
        <v>45902.61254451389</v>
      </c>
      <c r="B5" s="13" t="s">
        <v>408</v>
      </c>
      <c r="C5" s="5">
        <v>38339278104</v>
      </c>
      <c r="D5" s="11">
        <v>41531</v>
      </c>
      <c r="E5" s="13" t="s">
        <v>364</v>
      </c>
      <c r="F5" s="5" t="s">
        <v>24</v>
      </c>
      <c r="G5" s="5" t="s">
        <v>51</v>
      </c>
      <c r="H5" s="5" t="s">
        <v>25</v>
      </c>
      <c r="I5" s="13" t="s">
        <v>409</v>
      </c>
      <c r="J5" s="5">
        <v>5530547989</v>
      </c>
      <c r="K5" s="5" t="s">
        <v>52</v>
      </c>
      <c r="L5" s="5" t="s">
        <v>53</v>
      </c>
      <c r="M5" s="5" t="s">
        <v>54</v>
      </c>
      <c r="N5" s="5" t="s">
        <v>28</v>
      </c>
      <c r="O5" s="13" t="s">
        <v>410</v>
      </c>
      <c r="P5" s="5">
        <v>5326163108</v>
      </c>
      <c r="Q5" s="5" t="s">
        <v>55</v>
      </c>
      <c r="R5" s="5" t="s">
        <v>56</v>
      </c>
      <c r="S5" s="5" t="s">
        <v>57</v>
      </c>
      <c r="T5" s="5" t="s">
        <v>28</v>
      </c>
      <c r="U5" s="5" t="s">
        <v>41</v>
      </c>
      <c r="V5" s="5" t="s">
        <v>58</v>
      </c>
      <c r="W5" s="6">
        <v>5533974627</v>
      </c>
    </row>
    <row r="6" spans="1:27" x14ac:dyDescent="0.2">
      <c r="A6" s="1">
        <v>45902.619904143517</v>
      </c>
      <c r="B6" s="12" t="s">
        <v>359</v>
      </c>
      <c r="C6" s="2">
        <v>17530096618</v>
      </c>
      <c r="D6" s="10">
        <v>41787</v>
      </c>
      <c r="E6" s="12" t="s">
        <v>363</v>
      </c>
      <c r="F6" s="2" t="s">
        <v>24</v>
      </c>
      <c r="G6" s="2" t="s">
        <v>190</v>
      </c>
      <c r="H6" s="2" t="s">
        <v>25</v>
      </c>
      <c r="I6" s="12" t="s">
        <v>411</v>
      </c>
      <c r="J6" s="2">
        <v>5327862483</v>
      </c>
      <c r="K6" s="2" t="s">
        <v>59</v>
      </c>
      <c r="L6" s="2" t="s">
        <v>60</v>
      </c>
      <c r="M6" s="2" t="s">
        <v>61</v>
      </c>
      <c r="N6" s="2" t="s">
        <v>28</v>
      </c>
      <c r="O6" s="12" t="s">
        <v>412</v>
      </c>
      <c r="P6" s="2">
        <v>5066317016</v>
      </c>
      <c r="Q6" s="2" t="s">
        <v>62</v>
      </c>
      <c r="R6" s="2" t="s">
        <v>63</v>
      </c>
      <c r="S6" s="2" t="s">
        <v>64</v>
      </c>
      <c r="T6" s="2" t="s">
        <v>28</v>
      </c>
      <c r="U6" s="2" t="s">
        <v>41</v>
      </c>
      <c r="V6" s="2" t="s">
        <v>65</v>
      </c>
      <c r="W6" s="3"/>
    </row>
    <row r="7" spans="1:27" x14ac:dyDescent="0.2">
      <c r="A7" s="4">
        <v>45902.613984004631</v>
      </c>
      <c r="B7" s="13" t="s">
        <v>413</v>
      </c>
      <c r="C7" s="5">
        <v>41155273154</v>
      </c>
      <c r="D7" s="11">
        <v>42703</v>
      </c>
      <c r="E7" s="5" t="s">
        <v>66</v>
      </c>
      <c r="F7" s="5" t="s">
        <v>43</v>
      </c>
      <c r="G7" s="5" t="s">
        <v>67</v>
      </c>
      <c r="H7" s="5" t="s">
        <v>68</v>
      </c>
      <c r="I7" s="13" t="s">
        <v>414</v>
      </c>
      <c r="J7" s="5">
        <v>5052346652</v>
      </c>
      <c r="K7" s="5" t="s">
        <v>69</v>
      </c>
      <c r="L7" s="5" t="s">
        <v>70</v>
      </c>
      <c r="M7" s="5" t="s">
        <v>71</v>
      </c>
      <c r="N7" s="5" t="s">
        <v>28</v>
      </c>
      <c r="O7" s="13" t="s">
        <v>415</v>
      </c>
      <c r="P7" s="5">
        <v>5063915285</v>
      </c>
      <c r="Q7" s="5" t="s">
        <v>72</v>
      </c>
      <c r="R7" s="5" t="s">
        <v>70</v>
      </c>
      <c r="S7" s="5" t="s">
        <v>73</v>
      </c>
      <c r="T7" s="5" t="s">
        <v>28</v>
      </c>
      <c r="U7" s="5" t="s">
        <v>41</v>
      </c>
      <c r="V7" s="5" t="s">
        <v>74</v>
      </c>
      <c r="W7" s="6"/>
    </row>
    <row r="8" spans="1:27" x14ac:dyDescent="0.2">
      <c r="A8" s="1">
        <v>45904.407423993056</v>
      </c>
      <c r="B8" s="12" t="s">
        <v>416</v>
      </c>
      <c r="C8" s="2">
        <v>41329268948</v>
      </c>
      <c r="D8" s="10">
        <v>41856</v>
      </c>
      <c r="E8" s="2" t="s">
        <v>66</v>
      </c>
      <c r="F8" s="2" t="s">
        <v>24</v>
      </c>
      <c r="G8" s="2" t="s">
        <v>334</v>
      </c>
      <c r="H8" s="2" t="s">
        <v>25</v>
      </c>
      <c r="I8" s="12" t="s">
        <v>417</v>
      </c>
      <c r="J8" s="2">
        <v>5306106097</v>
      </c>
      <c r="L8" s="2" t="s">
        <v>75</v>
      </c>
      <c r="M8" s="2" t="s">
        <v>76</v>
      </c>
      <c r="N8" s="2" t="s">
        <v>28</v>
      </c>
      <c r="O8" s="12" t="s">
        <v>418</v>
      </c>
      <c r="P8" s="2">
        <v>5399516097</v>
      </c>
      <c r="R8" s="2" t="s">
        <v>77</v>
      </c>
      <c r="T8" s="2" t="s">
        <v>28</v>
      </c>
      <c r="U8" s="2" t="s">
        <v>41</v>
      </c>
      <c r="V8" s="2" t="s">
        <v>78</v>
      </c>
    </row>
    <row r="9" spans="1:27" x14ac:dyDescent="0.2">
      <c r="A9" s="4">
        <v>45904.627774143519</v>
      </c>
      <c r="B9" s="13" t="s">
        <v>419</v>
      </c>
      <c r="C9" s="5">
        <v>35557462186</v>
      </c>
      <c r="D9" s="11">
        <v>42068</v>
      </c>
      <c r="E9" s="5" t="s">
        <v>34</v>
      </c>
      <c r="F9" s="5" t="s">
        <v>35</v>
      </c>
      <c r="G9" s="5" t="s">
        <v>335</v>
      </c>
      <c r="H9" s="5" t="s">
        <v>25</v>
      </c>
      <c r="I9" s="13" t="s">
        <v>420</v>
      </c>
      <c r="J9" s="5">
        <v>5055613399</v>
      </c>
      <c r="L9" s="5" t="s">
        <v>79</v>
      </c>
      <c r="M9" s="5" t="s">
        <v>80</v>
      </c>
      <c r="N9" s="5" t="s">
        <v>28</v>
      </c>
      <c r="O9" s="13" t="s">
        <v>421</v>
      </c>
      <c r="P9" s="5">
        <v>5538862099</v>
      </c>
      <c r="Q9" s="5" t="s">
        <v>81</v>
      </c>
      <c r="R9" s="5" t="s">
        <v>82</v>
      </c>
      <c r="S9" s="5" t="s">
        <v>83</v>
      </c>
      <c r="T9" s="5" t="s">
        <v>28</v>
      </c>
      <c r="U9" s="5" t="s">
        <v>41</v>
      </c>
      <c r="V9" s="5" t="s">
        <v>84</v>
      </c>
    </row>
    <row r="10" spans="1:27" x14ac:dyDescent="0.2">
      <c r="A10" s="1">
        <v>45904.761648981483</v>
      </c>
      <c r="B10" s="12" t="s">
        <v>422</v>
      </c>
      <c r="C10" s="2">
        <v>40306301388</v>
      </c>
      <c r="D10" s="10">
        <v>41776</v>
      </c>
      <c r="E10" s="2" t="s">
        <v>34</v>
      </c>
      <c r="F10" s="2" t="s">
        <v>24</v>
      </c>
      <c r="G10" s="2" t="s">
        <v>85</v>
      </c>
      <c r="H10" s="2" t="s">
        <v>25</v>
      </c>
      <c r="I10" s="12" t="s">
        <v>423</v>
      </c>
      <c r="J10" s="2">
        <v>5369578332</v>
      </c>
      <c r="L10" s="2" t="s">
        <v>86</v>
      </c>
      <c r="M10" s="2" t="s">
        <v>87</v>
      </c>
      <c r="N10" s="2" t="s">
        <v>28</v>
      </c>
      <c r="O10" s="12" t="s">
        <v>424</v>
      </c>
      <c r="P10" s="2">
        <v>5369578332</v>
      </c>
      <c r="R10" s="2" t="s">
        <v>88</v>
      </c>
      <c r="T10" s="2" t="s">
        <v>28</v>
      </c>
      <c r="U10" s="2" t="s">
        <v>41</v>
      </c>
      <c r="V10" s="2" t="s">
        <v>89</v>
      </c>
    </row>
    <row r="11" spans="1:27" x14ac:dyDescent="0.2">
      <c r="A11" s="4">
        <v>45902.782301770829</v>
      </c>
      <c r="B11" s="13" t="s">
        <v>425</v>
      </c>
      <c r="C11" s="5">
        <v>19166926796</v>
      </c>
      <c r="D11" s="11">
        <v>42184</v>
      </c>
      <c r="E11" s="5" t="s">
        <v>90</v>
      </c>
      <c r="F11" s="5" t="s">
        <v>43</v>
      </c>
      <c r="G11" s="5" t="s">
        <v>340</v>
      </c>
      <c r="H11" s="5" t="s">
        <v>25</v>
      </c>
      <c r="I11" s="13" t="s">
        <v>426</v>
      </c>
      <c r="J11" s="5">
        <v>5058143604</v>
      </c>
      <c r="K11" s="5" t="s">
        <v>91</v>
      </c>
      <c r="L11" s="5" t="s">
        <v>92</v>
      </c>
      <c r="M11" s="5" t="s">
        <v>93</v>
      </c>
      <c r="N11" s="5" t="s">
        <v>28</v>
      </c>
      <c r="O11" s="13" t="s">
        <v>427</v>
      </c>
      <c r="P11" s="5">
        <v>5058143603</v>
      </c>
      <c r="Q11" s="5" t="s">
        <v>94</v>
      </c>
      <c r="R11" s="5" t="s">
        <v>86</v>
      </c>
      <c r="S11" s="5" t="s">
        <v>95</v>
      </c>
      <c r="T11" s="5" t="s">
        <v>28</v>
      </c>
      <c r="U11" s="5" t="s">
        <v>41</v>
      </c>
      <c r="V11" s="5" t="s">
        <v>96</v>
      </c>
    </row>
    <row r="12" spans="1:27" x14ac:dyDescent="0.2">
      <c r="A12" s="1">
        <v>45904.644256701387</v>
      </c>
      <c r="B12" s="12" t="s">
        <v>428</v>
      </c>
      <c r="C12" s="2">
        <v>40594291194</v>
      </c>
      <c r="D12" s="10">
        <v>42026</v>
      </c>
      <c r="E12" s="2" t="s">
        <v>34</v>
      </c>
      <c r="F12" s="2" t="s">
        <v>35</v>
      </c>
      <c r="G12" s="2" t="s">
        <v>274</v>
      </c>
      <c r="H12" s="2" t="s">
        <v>36</v>
      </c>
      <c r="I12" s="12" t="s">
        <v>429</v>
      </c>
      <c r="J12" s="2">
        <v>5434212995</v>
      </c>
      <c r="L12" s="2" t="s">
        <v>97</v>
      </c>
      <c r="M12" s="2" t="s">
        <v>98</v>
      </c>
      <c r="N12" s="2" t="s">
        <v>28</v>
      </c>
      <c r="O12" s="12" t="s">
        <v>430</v>
      </c>
      <c r="P12" s="2">
        <v>5331620346</v>
      </c>
      <c r="Q12" s="2" t="s">
        <v>99</v>
      </c>
      <c r="R12" s="2" t="s">
        <v>77</v>
      </c>
      <c r="T12" s="2" t="s">
        <v>28</v>
      </c>
      <c r="U12" s="2" t="s">
        <v>41</v>
      </c>
      <c r="V12" s="2" t="s">
        <v>100</v>
      </c>
    </row>
    <row r="13" spans="1:27" x14ac:dyDescent="0.2">
      <c r="A13" s="4">
        <v>45904.83560716435</v>
      </c>
      <c r="B13" s="13" t="s">
        <v>431</v>
      </c>
      <c r="C13" s="5">
        <v>23488861314</v>
      </c>
      <c r="D13" s="11">
        <v>42265</v>
      </c>
      <c r="E13" s="5" t="s">
        <v>101</v>
      </c>
      <c r="F13" s="5" t="s">
        <v>35</v>
      </c>
      <c r="G13" s="5" t="s">
        <v>102</v>
      </c>
      <c r="H13" s="5" t="s">
        <v>68</v>
      </c>
      <c r="I13" s="13" t="s">
        <v>432</v>
      </c>
      <c r="J13" s="5">
        <v>5301378964</v>
      </c>
      <c r="L13" s="5" t="s">
        <v>103</v>
      </c>
      <c r="M13" s="5" t="s">
        <v>104</v>
      </c>
      <c r="N13" s="5" t="s">
        <v>28</v>
      </c>
      <c r="O13" s="13" t="s">
        <v>433</v>
      </c>
      <c r="P13" s="5">
        <v>5340616080</v>
      </c>
      <c r="R13" s="5" t="s">
        <v>105</v>
      </c>
      <c r="T13" s="5" t="s">
        <v>28</v>
      </c>
      <c r="U13" s="5" t="s">
        <v>32</v>
      </c>
      <c r="V13" s="5" t="s">
        <v>106</v>
      </c>
    </row>
    <row r="14" spans="1:27" x14ac:dyDescent="0.2">
      <c r="A14" s="1">
        <v>45902.693832442128</v>
      </c>
      <c r="B14" s="12" t="s">
        <v>434</v>
      </c>
      <c r="C14" s="2">
        <v>13663116872</v>
      </c>
      <c r="D14" s="10">
        <v>41751</v>
      </c>
      <c r="E14" s="2" t="s">
        <v>107</v>
      </c>
      <c r="F14" s="2" t="s">
        <v>24</v>
      </c>
      <c r="G14" s="2" t="s">
        <v>108</v>
      </c>
      <c r="H14" s="2" t="s">
        <v>25</v>
      </c>
      <c r="I14" s="12" t="s">
        <v>435</v>
      </c>
      <c r="J14" s="2">
        <v>5063701327</v>
      </c>
      <c r="K14" s="2" t="s">
        <v>109</v>
      </c>
      <c r="L14" s="2" t="s">
        <v>60</v>
      </c>
      <c r="M14" s="2" t="s">
        <v>110</v>
      </c>
      <c r="N14" s="2" t="s">
        <v>28</v>
      </c>
      <c r="O14" s="12" t="s">
        <v>436</v>
      </c>
      <c r="P14" s="2">
        <v>5063701342</v>
      </c>
      <c r="Q14" s="2" t="s">
        <v>111</v>
      </c>
      <c r="R14" s="2" t="s">
        <v>112</v>
      </c>
      <c r="S14" s="2" t="s">
        <v>113</v>
      </c>
      <c r="T14" s="2" t="s">
        <v>28</v>
      </c>
      <c r="U14" s="2" t="s">
        <v>32</v>
      </c>
      <c r="V14" s="2" t="s">
        <v>114</v>
      </c>
      <c r="W14" s="3">
        <v>5541162027</v>
      </c>
    </row>
    <row r="15" spans="1:27" x14ac:dyDescent="0.2">
      <c r="A15" s="4">
        <v>45902.639652754631</v>
      </c>
      <c r="B15" s="13" t="s">
        <v>437</v>
      </c>
      <c r="C15" s="5">
        <v>25648791080</v>
      </c>
      <c r="D15" s="11">
        <v>42173</v>
      </c>
      <c r="E15" s="5" t="s">
        <v>23</v>
      </c>
      <c r="F15" s="5" t="s">
        <v>35</v>
      </c>
      <c r="G15" s="5" t="s">
        <v>115</v>
      </c>
      <c r="H15" s="5" t="s">
        <v>25</v>
      </c>
      <c r="I15" s="13" t="s">
        <v>438</v>
      </c>
      <c r="J15" s="5">
        <v>5554961212</v>
      </c>
      <c r="K15" s="5" t="s">
        <v>116</v>
      </c>
      <c r="L15" s="5" t="s">
        <v>117</v>
      </c>
      <c r="M15" s="5" t="s">
        <v>118</v>
      </c>
      <c r="N15" s="5" t="s">
        <v>28</v>
      </c>
      <c r="O15" s="13" t="s">
        <v>439</v>
      </c>
      <c r="P15" s="5">
        <v>5059151049</v>
      </c>
      <c r="Q15" s="5" t="s">
        <v>119</v>
      </c>
      <c r="R15" s="5" t="s">
        <v>120</v>
      </c>
      <c r="S15" s="5" t="s">
        <v>121</v>
      </c>
      <c r="T15" s="5" t="s">
        <v>28</v>
      </c>
      <c r="U15" s="5" t="s">
        <v>41</v>
      </c>
      <c r="V15" s="5" t="s">
        <v>122</v>
      </c>
      <c r="W15" s="6" t="s">
        <v>121</v>
      </c>
    </row>
    <row r="16" spans="1:27" x14ac:dyDescent="0.2">
      <c r="A16" s="1">
        <v>45902.615042094912</v>
      </c>
      <c r="B16" s="12" t="s">
        <v>440</v>
      </c>
      <c r="C16" s="2">
        <v>48940015258</v>
      </c>
      <c r="D16" s="10">
        <v>41923</v>
      </c>
      <c r="E16" s="2" t="s">
        <v>123</v>
      </c>
      <c r="F16" s="2" t="s">
        <v>24</v>
      </c>
      <c r="G16" s="2" t="s">
        <v>336</v>
      </c>
      <c r="H16" s="2" t="s">
        <v>25</v>
      </c>
      <c r="I16" s="12" t="s">
        <v>441</v>
      </c>
      <c r="J16" s="2">
        <v>5066864181</v>
      </c>
      <c r="K16" s="2" t="s">
        <v>124</v>
      </c>
      <c r="L16" s="2" t="s">
        <v>125</v>
      </c>
      <c r="M16" s="2" t="s">
        <v>126</v>
      </c>
      <c r="N16" s="2" t="s">
        <v>28</v>
      </c>
      <c r="O16" s="12" t="s">
        <v>442</v>
      </c>
      <c r="P16" s="2">
        <v>5074953843</v>
      </c>
      <c r="Q16" s="2" t="s">
        <v>127</v>
      </c>
      <c r="R16" s="2" t="s">
        <v>105</v>
      </c>
      <c r="S16" s="2"/>
      <c r="T16" s="2" t="s">
        <v>28</v>
      </c>
      <c r="U16" s="2" t="s">
        <v>32</v>
      </c>
      <c r="V16" s="2" t="s">
        <v>128</v>
      </c>
      <c r="W16" s="3"/>
    </row>
    <row r="17" spans="1:23" x14ac:dyDescent="0.2">
      <c r="A17" s="4">
        <v>45904.65020261574</v>
      </c>
      <c r="B17" s="13" t="s">
        <v>129</v>
      </c>
      <c r="C17" s="5">
        <v>11065204852</v>
      </c>
      <c r="D17" s="11">
        <v>42236</v>
      </c>
      <c r="E17" s="5" t="s">
        <v>107</v>
      </c>
      <c r="F17" s="5" t="s">
        <v>35</v>
      </c>
      <c r="G17" s="5" t="s">
        <v>130</v>
      </c>
      <c r="H17" s="5" t="s">
        <v>68</v>
      </c>
      <c r="I17" s="13" t="s">
        <v>443</v>
      </c>
      <c r="J17" s="5">
        <v>5077067000</v>
      </c>
      <c r="K17" s="5" t="s">
        <v>131</v>
      </c>
      <c r="L17" s="5" t="s">
        <v>132</v>
      </c>
      <c r="M17" s="5" t="s">
        <v>133</v>
      </c>
      <c r="N17" s="5" t="s">
        <v>28</v>
      </c>
      <c r="O17" s="13" t="s">
        <v>444</v>
      </c>
      <c r="P17" s="5">
        <v>5077558811</v>
      </c>
      <c r="Q17" s="5" t="s">
        <v>134</v>
      </c>
      <c r="R17" s="5" t="s">
        <v>135</v>
      </c>
      <c r="T17" s="5" t="s">
        <v>28</v>
      </c>
      <c r="U17" s="5" t="s">
        <v>41</v>
      </c>
      <c r="V17" s="5" t="s">
        <v>136</v>
      </c>
    </row>
    <row r="18" spans="1:23" x14ac:dyDescent="0.2">
      <c r="A18" s="1">
        <v>45902.612716886579</v>
      </c>
      <c r="B18" s="12" t="s">
        <v>137</v>
      </c>
      <c r="C18" s="2">
        <v>31381599470</v>
      </c>
      <c r="D18" s="10">
        <v>42857</v>
      </c>
      <c r="E18" s="2" t="s">
        <v>34</v>
      </c>
      <c r="F18" s="2" t="s">
        <v>138</v>
      </c>
      <c r="G18" s="2" t="s">
        <v>345</v>
      </c>
      <c r="H18" s="2" t="s">
        <v>25</v>
      </c>
      <c r="I18" s="12" t="s">
        <v>445</v>
      </c>
      <c r="J18" s="2">
        <v>5055900348</v>
      </c>
      <c r="K18" s="2"/>
      <c r="L18" s="2" t="s">
        <v>139</v>
      </c>
      <c r="M18" s="2" t="s">
        <v>48</v>
      </c>
      <c r="N18" s="2" t="s">
        <v>28</v>
      </c>
      <c r="O18" s="12" t="s">
        <v>446</v>
      </c>
      <c r="P18" s="2">
        <v>5054395246</v>
      </c>
      <c r="Q18" s="2"/>
      <c r="R18" s="2" t="s">
        <v>86</v>
      </c>
      <c r="S18" s="2" t="s">
        <v>140</v>
      </c>
      <c r="T18" s="2" t="s">
        <v>28</v>
      </c>
      <c r="U18" s="2" t="s">
        <v>41</v>
      </c>
      <c r="V18" s="2" t="s">
        <v>141</v>
      </c>
      <c r="W18" s="3"/>
    </row>
    <row r="19" spans="1:23" x14ac:dyDescent="0.2">
      <c r="A19" s="4">
        <v>45902.615377002316</v>
      </c>
      <c r="B19" s="13" t="s">
        <v>366</v>
      </c>
      <c r="C19" s="5">
        <v>43054201436</v>
      </c>
      <c r="D19" s="11">
        <v>42179</v>
      </c>
      <c r="E19" s="5" t="s">
        <v>362</v>
      </c>
      <c r="F19" s="5" t="s">
        <v>35</v>
      </c>
      <c r="G19" s="5" t="s">
        <v>348</v>
      </c>
      <c r="H19" s="5" t="s">
        <v>68</v>
      </c>
      <c r="I19" s="13" t="s">
        <v>447</v>
      </c>
      <c r="J19" s="5">
        <v>5445677551</v>
      </c>
      <c r="K19" s="5"/>
      <c r="L19" s="5" t="s">
        <v>142</v>
      </c>
      <c r="M19" s="5" t="s">
        <v>143</v>
      </c>
      <c r="N19" s="5" t="s">
        <v>28</v>
      </c>
      <c r="O19" s="13" t="s">
        <v>448</v>
      </c>
      <c r="P19" s="5">
        <v>5433701899</v>
      </c>
      <c r="Q19" s="5"/>
      <c r="R19" s="5" t="s">
        <v>105</v>
      </c>
      <c r="S19" s="5"/>
      <c r="T19" s="5" t="s">
        <v>28</v>
      </c>
      <c r="U19" s="5" t="s">
        <v>41</v>
      </c>
      <c r="V19" s="5" t="s">
        <v>144</v>
      </c>
      <c r="W19" s="6"/>
    </row>
    <row r="20" spans="1:23" x14ac:dyDescent="0.2">
      <c r="A20" s="1">
        <v>45902.613660092597</v>
      </c>
      <c r="B20" s="12" t="s">
        <v>449</v>
      </c>
      <c r="C20" s="2">
        <v>40222303602</v>
      </c>
      <c r="D20" s="10">
        <v>41865</v>
      </c>
      <c r="E20" s="2" t="s">
        <v>145</v>
      </c>
      <c r="F20" s="2" t="s">
        <v>24</v>
      </c>
      <c r="G20" s="2" t="s">
        <v>146</v>
      </c>
      <c r="H20" s="2" t="s">
        <v>68</v>
      </c>
      <c r="I20" s="12" t="s">
        <v>450</v>
      </c>
      <c r="J20" s="2">
        <v>5071535787</v>
      </c>
      <c r="K20" s="2"/>
      <c r="L20" s="2" t="s">
        <v>147</v>
      </c>
      <c r="M20" s="2" t="s">
        <v>148</v>
      </c>
      <c r="N20" s="2" t="s">
        <v>28</v>
      </c>
      <c r="O20" s="12" t="s">
        <v>451</v>
      </c>
      <c r="P20" s="2">
        <v>5074521374</v>
      </c>
      <c r="Q20" s="2"/>
      <c r="R20" s="2" t="s">
        <v>149</v>
      </c>
      <c r="S20" s="2" t="s">
        <v>150</v>
      </c>
      <c r="T20" s="2" t="s">
        <v>28</v>
      </c>
      <c r="U20" s="2" t="s">
        <v>41</v>
      </c>
      <c r="V20" s="2" t="s">
        <v>151</v>
      </c>
      <c r="W20" s="3"/>
    </row>
    <row r="21" spans="1:23" x14ac:dyDescent="0.2">
      <c r="A21" s="4">
        <v>45904.699098726851</v>
      </c>
      <c r="B21" s="13" t="s">
        <v>452</v>
      </c>
      <c r="C21" s="5">
        <v>43796111406</v>
      </c>
      <c r="D21" s="11">
        <v>42242</v>
      </c>
      <c r="E21" s="5" t="s">
        <v>152</v>
      </c>
      <c r="F21" s="5" t="s">
        <v>35</v>
      </c>
      <c r="G21" s="5" t="s">
        <v>349</v>
      </c>
      <c r="H21" s="5" t="s">
        <v>25</v>
      </c>
      <c r="I21" s="13" t="s">
        <v>453</v>
      </c>
      <c r="J21" s="5">
        <v>5375225527</v>
      </c>
      <c r="L21" s="5" t="s">
        <v>120</v>
      </c>
      <c r="M21" s="5" t="s">
        <v>153</v>
      </c>
      <c r="N21" s="5" t="s">
        <v>28</v>
      </c>
      <c r="O21" s="13" t="s">
        <v>454</v>
      </c>
      <c r="P21" s="5">
        <v>5375225546</v>
      </c>
      <c r="R21" s="5" t="s">
        <v>120</v>
      </c>
      <c r="T21" s="5" t="s">
        <v>28</v>
      </c>
      <c r="U21" s="5" t="s">
        <v>41</v>
      </c>
      <c r="V21" s="5" t="s">
        <v>154</v>
      </c>
    </row>
    <row r="22" spans="1:23" x14ac:dyDescent="0.2">
      <c r="A22" s="1">
        <v>45902.614225486112</v>
      </c>
      <c r="B22" s="2" t="s">
        <v>155</v>
      </c>
      <c r="C22" s="2">
        <v>15718013006</v>
      </c>
      <c r="D22" s="10">
        <v>41923</v>
      </c>
      <c r="E22" s="2" t="s">
        <v>156</v>
      </c>
      <c r="F22" s="2" t="s">
        <v>24</v>
      </c>
      <c r="G22" s="2" t="s">
        <v>157</v>
      </c>
      <c r="H22" s="2" t="s">
        <v>25</v>
      </c>
      <c r="I22" s="12" t="s">
        <v>455</v>
      </c>
      <c r="J22" s="2">
        <v>5531907981</v>
      </c>
      <c r="K22" s="2"/>
      <c r="L22" s="2" t="s">
        <v>158</v>
      </c>
      <c r="M22" s="2" t="s">
        <v>159</v>
      </c>
      <c r="N22" s="2" t="s">
        <v>28</v>
      </c>
      <c r="O22" s="12" t="s">
        <v>456</v>
      </c>
      <c r="P22" s="2">
        <v>5523357494</v>
      </c>
      <c r="Q22" s="2"/>
      <c r="R22" s="2" t="s">
        <v>160</v>
      </c>
      <c r="S22" s="2"/>
      <c r="T22" s="2" t="s">
        <v>28</v>
      </c>
      <c r="U22" s="2" t="s">
        <v>41</v>
      </c>
      <c r="V22" s="2" t="s">
        <v>161</v>
      </c>
      <c r="W22" s="3"/>
    </row>
    <row r="23" spans="1:23" x14ac:dyDescent="0.2">
      <c r="A23" s="4">
        <v>45904.5012775</v>
      </c>
      <c r="B23" s="13" t="s">
        <v>457</v>
      </c>
      <c r="C23" s="5">
        <v>26395764204</v>
      </c>
      <c r="D23" s="11">
        <v>42020</v>
      </c>
      <c r="E23" s="5" t="s">
        <v>34</v>
      </c>
      <c r="F23" s="5" t="s">
        <v>35</v>
      </c>
      <c r="G23" s="5" t="s">
        <v>274</v>
      </c>
      <c r="H23" s="5" t="s">
        <v>36</v>
      </c>
      <c r="I23" s="13" t="s">
        <v>458</v>
      </c>
      <c r="J23" s="5">
        <v>5454864752</v>
      </c>
      <c r="L23" s="5" t="s">
        <v>53</v>
      </c>
      <c r="M23" s="5" t="s">
        <v>148</v>
      </c>
      <c r="N23" s="5" t="s">
        <v>28</v>
      </c>
      <c r="O23" s="13" t="s">
        <v>459</v>
      </c>
      <c r="P23" s="5">
        <v>5454863253</v>
      </c>
      <c r="Q23" s="5" t="s">
        <v>162</v>
      </c>
      <c r="R23" s="5" t="s">
        <v>149</v>
      </c>
      <c r="T23" s="5" t="s">
        <v>28</v>
      </c>
      <c r="U23" s="5" t="s">
        <v>41</v>
      </c>
      <c r="V23" s="5" t="s">
        <v>163</v>
      </c>
      <c r="W23" s="6">
        <v>5514960240</v>
      </c>
    </row>
    <row r="24" spans="1:23" x14ac:dyDescent="0.2">
      <c r="A24" s="1">
        <v>45904.690142013889</v>
      </c>
      <c r="B24" s="12" t="s">
        <v>460</v>
      </c>
      <c r="C24" s="2">
        <v>48721022444</v>
      </c>
      <c r="D24" s="10">
        <v>42479</v>
      </c>
      <c r="E24" s="2" t="s">
        <v>34</v>
      </c>
      <c r="F24" s="2" t="s">
        <v>43</v>
      </c>
      <c r="G24" s="2" t="s">
        <v>341</v>
      </c>
      <c r="H24" s="2" t="s">
        <v>36</v>
      </c>
      <c r="I24" s="12" t="s">
        <v>461</v>
      </c>
      <c r="J24" s="7">
        <v>5423425902</v>
      </c>
      <c r="K24" s="2" t="s">
        <v>164</v>
      </c>
      <c r="L24" s="2" t="s">
        <v>165</v>
      </c>
      <c r="M24" s="2" t="s">
        <v>166</v>
      </c>
      <c r="N24" s="2" t="s">
        <v>28</v>
      </c>
      <c r="O24" s="12" t="s">
        <v>462</v>
      </c>
      <c r="P24" s="2">
        <v>5435484825</v>
      </c>
      <c r="R24" s="2" t="s">
        <v>105</v>
      </c>
      <c r="T24" s="2" t="s">
        <v>28</v>
      </c>
      <c r="U24" s="2" t="s">
        <v>41</v>
      </c>
      <c r="V24" s="2" t="s">
        <v>167</v>
      </c>
    </row>
    <row r="25" spans="1:23" x14ac:dyDescent="0.2">
      <c r="A25" s="4">
        <v>45903.454131620369</v>
      </c>
      <c r="B25" s="13" t="s">
        <v>463</v>
      </c>
      <c r="C25" s="5">
        <v>41566259402</v>
      </c>
      <c r="D25" s="11">
        <v>42291</v>
      </c>
      <c r="E25" s="5" t="s">
        <v>66</v>
      </c>
      <c r="F25" s="5" t="s">
        <v>35</v>
      </c>
      <c r="G25" s="5" t="s">
        <v>337</v>
      </c>
      <c r="H25" s="5" t="s">
        <v>68</v>
      </c>
      <c r="I25" s="13" t="s">
        <v>464</v>
      </c>
      <c r="J25" s="5">
        <v>5442183208</v>
      </c>
      <c r="K25" s="5" t="s">
        <v>168</v>
      </c>
      <c r="L25" s="5" t="s">
        <v>169</v>
      </c>
      <c r="M25" s="5" t="s">
        <v>170</v>
      </c>
      <c r="N25" s="5" t="s">
        <v>28</v>
      </c>
      <c r="O25" s="13" t="s">
        <v>465</v>
      </c>
      <c r="P25" s="5">
        <v>5442183264</v>
      </c>
      <c r="R25" s="5" t="s">
        <v>149</v>
      </c>
      <c r="T25" s="5" t="s">
        <v>28</v>
      </c>
      <c r="U25" s="5" t="s">
        <v>41</v>
      </c>
      <c r="V25" s="5" t="s">
        <v>171</v>
      </c>
    </row>
    <row r="26" spans="1:23" x14ac:dyDescent="0.2">
      <c r="A26" s="1">
        <v>45902.851972060183</v>
      </c>
      <c r="B26" s="12" t="s">
        <v>466</v>
      </c>
      <c r="C26" s="2">
        <v>20395964312</v>
      </c>
      <c r="D26" s="10">
        <v>41859</v>
      </c>
      <c r="E26" s="2" t="s">
        <v>66</v>
      </c>
      <c r="F26" s="2" t="s">
        <v>24</v>
      </c>
      <c r="G26" s="2" t="s">
        <v>336</v>
      </c>
      <c r="H26" s="2" t="s">
        <v>25</v>
      </c>
      <c r="I26" s="12" t="s">
        <v>467</v>
      </c>
      <c r="J26" s="2">
        <v>5454641427</v>
      </c>
      <c r="K26" s="2" t="s">
        <v>172</v>
      </c>
      <c r="L26" s="2" t="s">
        <v>38</v>
      </c>
      <c r="M26" s="2" t="s">
        <v>150</v>
      </c>
      <c r="N26" s="2" t="s">
        <v>28</v>
      </c>
      <c r="O26" s="12" t="s">
        <v>468</v>
      </c>
      <c r="P26" s="2">
        <v>5075789449</v>
      </c>
      <c r="Q26" s="2" t="s">
        <v>173</v>
      </c>
      <c r="R26" s="2" t="s">
        <v>149</v>
      </c>
      <c r="S26" s="2" t="s">
        <v>150</v>
      </c>
      <c r="T26" s="2" t="s">
        <v>28</v>
      </c>
      <c r="U26" s="2" t="s">
        <v>41</v>
      </c>
      <c r="V26" s="2" t="s">
        <v>174</v>
      </c>
    </row>
    <row r="27" spans="1:23" x14ac:dyDescent="0.2">
      <c r="A27" s="4">
        <v>45904.687455081017</v>
      </c>
      <c r="B27" s="13" t="s">
        <v>469</v>
      </c>
      <c r="C27" s="5">
        <v>29770651984</v>
      </c>
      <c r="D27" s="11">
        <v>42677</v>
      </c>
      <c r="E27" s="5" t="s">
        <v>23</v>
      </c>
      <c r="F27" s="5" t="s">
        <v>43</v>
      </c>
      <c r="G27" s="5" t="s">
        <v>175</v>
      </c>
      <c r="H27" s="5" t="s">
        <v>25</v>
      </c>
      <c r="I27" s="13" t="s">
        <v>470</v>
      </c>
      <c r="J27" s="5">
        <v>5056842060</v>
      </c>
      <c r="K27" s="5" t="s">
        <v>176</v>
      </c>
      <c r="L27" s="5" t="s">
        <v>177</v>
      </c>
      <c r="M27" s="5" t="s">
        <v>178</v>
      </c>
      <c r="N27" s="5" t="s">
        <v>28</v>
      </c>
      <c r="O27" s="13" t="s">
        <v>471</v>
      </c>
      <c r="P27" s="5">
        <v>5057885440</v>
      </c>
      <c r="R27" s="5" t="s">
        <v>112</v>
      </c>
      <c r="S27" s="5" t="s">
        <v>179</v>
      </c>
      <c r="T27" s="5" t="s">
        <v>28</v>
      </c>
      <c r="U27" s="5" t="s">
        <v>32</v>
      </c>
      <c r="V27" s="5" t="s">
        <v>180</v>
      </c>
    </row>
    <row r="28" spans="1:23" x14ac:dyDescent="0.2">
      <c r="A28" s="1">
        <v>45902.650986111112</v>
      </c>
      <c r="B28" s="12" t="s">
        <v>472</v>
      </c>
      <c r="C28" s="2">
        <v>29491662368</v>
      </c>
      <c r="D28" s="10">
        <v>41641</v>
      </c>
      <c r="E28" s="2" t="s">
        <v>34</v>
      </c>
      <c r="F28" s="2" t="s">
        <v>24</v>
      </c>
      <c r="G28" s="2" t="s">
        <v>146</v>
      </c>
      <c r="H28" s="2" t="s">
        <v>68</v>
      </c>
      <c r="I28" s="12" t="s">
        <v>473</v>
      </c>
      <c r="J28" s="2">
        <v>5066020065</v>
      </c>
      <c r="K28" s="2" t="s">
        <v>181</v>
      </c>
      <c r="L28" s="2" t="s">
        <v>182</v>
      </c>
      <c r="M28" s="2" t="s">
        <v>183</v>
      </c>
      <c r="N28" s="2" t="s">
        <v>28</v>
      </c>
      <c r="O28" s="12" t="s">
        <v>474</v>
      </c>
      <c r="P28" s="2">
        <v>5062200179</v>
      </c>
      <c r="Q28" s="2" t="s">
        <v>184</v>
      </c>
      <c r="R28" s="2" t="s">
        <v>105</v>
      </c>
      <c r="T28" s="2" t="s">
        <v>28</v>
      </c>
      <c r="U28" s="2" t="s">
        <v>41</v>
      </c>
      <c r="V28" s="2" t="s">
        <v>185</v>
      </c>
    </row>
    <row r="29" spans="1:23" x14ac:dyDescent="0.2">
      <c r="A29" s="4">
        <v>45902.633559155089</v>
      </c>
      <c r="B29" s="13" t="s">
        <v>475</v>
      </c>
      <c r="C29" s="5">
        <v>51382856570</v>
      </c>
      <c r="D29" s="11">
        <v>42055</v>
      </c>
      <c r="E29" s="5" t="s">
        <v>186</v>
      </c>
      <c r="F29" s="5" t="s">
        <v>35</v>
      </c>
      <c r="G29" s="5" t="s">
        <v>350</v>
      </c>
      <c r="H29" s="5" t="s">
        <v>25</v>
      </c>
      <c r="I29" s="13" t="s">
        <v>476</v>
      </c>
      <c r="J29" s="8">
        <v>5438340065</v>
      </c>
      <c r="L29" s="5" t="s">
        <v>148</v>
      </c>
      <c r="M29" s="5" t="s">
        <v>187</v>
      </c>
      <c r="N29" s="5" t="s">
        <v>28</v>
      </c>
      <c r="O29" s="13" t="s">
        <v>477</v>
      </c>
      <c r="P29" s="8">
        <v>5446126977</v>
      </c>
      <c r="R29" s="5" t="s">
        <v>105</v>
      </c>
      <c r="T29" s="5" t="s">
        <v>28</v>
      </c>
      <c r="U29" s="5" t="s">
        <v>41</v>
      </c>
      <c r="V29" s="5" t="s">
        <v>188</v>
      </c>
    </row>
    <row r="30" spans="1:23" x14ac:dyDescent="0.2">
      <c r="A30" s="1">
        <v>45902.61309668982</v>
      </c>
      <c r="B30" s="12" t="s">
        <v>189</v>
      </c>
      <c r="C30" s="2">
        <v>38287369534</v>
      </c>
      <c r="D30" s="10">
        <v>42172</v>
      </c>
      <c r="E30" s="2" t="s">
        <v>66</v>
      </c>
      <c r="F30" s="2" t="s">
        <v>35</v>
      </c>
      <c r="G30" s="2" t="s">
        <v>190</v>
      </c>
      <c r="H30" s="2" t="s">
        <v>25</v>
      </c>
      <c r="I30" s="12" t="s">
        <v>478</v>
      </c>
      <c r="J30" s="2">
        <v>5068827777</v>
      </c>
      <c r="K30" s="2" t="s">
        <v>191</v>
      </c>
      <c r="L30" s="2" t="s">
        <v>192</v>
      </c>
      <c r="M30" s="2" t="s">
        <v>193</v>
      </c>
      <c r="N30" s="2" t="s">
        <v>28</v>
      </c>
      <c r="O30" s="12" t="s">
        <v>479</v>
      </c>
      <c r="P30" s="2">
        <v>5321511787</v>
      </c>
      <c r="Q30" s="2" t="s">
        <v>194</v>
      </c>
      <c r="R30" s="2" t="s">
        <v>195</v>
      </c>
      <c r="S30" s="2" t="s">
        <v>196</v>
      </c>
      <c r="T30" s="2" t="s">
        <v>28</v>
      </c>
      <c r="U30" s="2" t="s">
        <v>41</v>
      </c>
      <c r="V30" s="2" t="s">
        <v>197</v>
      </c>
      <c r="W30" s="3">
        <v>5330910870</v>
      </c>
    </row>
    <row r="31" spans="1:23" x14ac:dyDescent="0.2">
      <c r="A31" s="4">
        <v>45902.67496311343</v>
      </c>
      <c r="B31" s="13" t="s">
        <v>360</v>
      </c>
      <c r="C31" s="5">
        <v>25708787756</v>
      </c>
      <c r="D31" s="11">
        <v>42695</v>
      </c>
      <c r="E31" s="2" t="s">
        <v>66</v>
      </c>
      <c r="F31" s="5" t="s">
        <v>138</v>
      </c>
      <c r="G31" s="2" t="s">
        <v>345</v>
      </c>
      <c r="H31" s="5" t="s">
        <v>25</v>
      </c>
      <c r="I31" s="13" t="s">
        <v>480</v>
      </c>
      <c r="J31" s="5">
        <v>5079735518</v>
      </c>
      <c r="K31" s="5" t="s">
        <v>198</v>
      </c>
      <c r="L31" s="5" t="s">
        <v>199</v>
      </c>
      <c r="M31" s="5" t="s">
        <v>200</v>
      </c>
      <c r="N31" s="5" t="s">
        <v>28</v>
      </c>
      <c r="O31" s="13" t="s">
        <v>481</v>
      </c>
      <c r="P31" s="5">
        <v>5517061938</v>
      </c>
      <c r="Q31" s="5" t="s">
        <v>201</v>
      </c>
      <c r="R31" s="5" t="s">
        <v>202</v>
      </c>
      <c r="T31" s="5" t="s">
        <v>28</v>
      </c>
      <c r="U31" s="5" t="s">
        <v>32</v>
      </c>
      <c r="V31" s="5" t="s">
        <v>203</v>
      </c>
    </row>
    <row r="32" spans="1:23" x14ac:dyDescent="0.2">
      <c r="A32" s="1">
        <v>45902.622794317125</v>
      </c>
      <c r="B32" s="12" t="s">
        <v>204</v>
      </c>
      <c r="C32" s="2">
        <v>45257051740</v>
      </c>
      <c r="D32" s="10">
        <v>42090</v>
      </c>
      <c r="E32" s="2" t="s">
        <v>205</v>
      </c>
      <c r="F32" s="2" t="s">
        <v>35</v>
      </c>
      <c r="G32" s="2" t="s">
        <v>102</v>
      </c>
      <c r="H32" s="2" t="s">
        <v>68</v>
      </c>
      <c r="I32" s="12" t="s">
        <v>482</v>
      </c>
      <c r="J32" s="2">
        <v>5536387625</v>
      </c>
      <c r="K32" s="2"/>
      <c r="L32" s="2" t="s">
        <v>26</v>
      </c>
      <c r="M32" s="2" t="s">
        <v>206</v>
      </c>
      <c r="N32" s="2" t="s">
        <v>28</v>
      </c>
      <c r="O32" s="12" t="s">
        <v>483</v>
      </c>
      <c r="P32" s="2">
        <v>5349786386</v>
      </c>
      <c r="Q32" s="2" t="s">
        <v>207</v>
      </c>
      <c r="R32" s="2" t="s">
        <v>208</v>
      </c>
      <c r="S32" s="2"/>
      <c r="T32" s="2" t="s">
        <v>28</v>
      </c>
      <c r="U32" s="2" t="s">
        <v>41</v>
      </c>
      <c r="V32" s="2" t="s">
        <v>209</v>
      </c>
      <c r="W32" s="3"/>
    </row>
    <row r="33" spans="1:27" x14ac:dyDescent="0.2">
      <c r="A33" s="4">
        <v>45902.62227</v>
      </c>
      <c r="B33" s="13" t="s">
        <v>484</v>
      </c>
      <c r="C33" s="5">
        <v>31585583626</v>
      </c>
      <c r="D33" s="11">
        <v>42406</v>
      </c>
      <c r="E33" s="5" t="s">
        <v>210</v>
      </c>
      <c r="F33" s="5" t="s">
        <v>43</v>
      </c>
      <c r="G33" s="5" t="s">
        <v>343</v>
      </c>
      <c r="H33" s="5" t="s">
        <v>25</v>
      </c>
      <c r="I33" s="13" t="s">
        <v>485</v>
      </c>
      <c r="J33" s="5">
        <v>5056674888</v>
      </c>
      <c r="K33" s="5"/>
      <c r="L33" s="5" t="s">
        <v>26</v>
      </c>
      <c r="M33" s="5" t="s">
        <v>211</v>
      </c>
      <c r="N33" s="5" t="s">
        <v>28</v>
      </c>
      <c r="O33" s="13" t="s">
        <v>486</v>
      </c>
      <c r="P33" s="5">
        <v>5372868092</v>
      </c>
      <c r="Q33" s="5"/>
      <c r="R33" s="5" t="s">
        <v>212</v>
      </c>
      <c r="S33" s="5" t="s">
        <v>213</v>
      </c>
      <c r="T33" s="5" t="s">
        <v>28</v>
      </c>
      <c r="U33" s="5" t="s">
        <v>41</v>
      </c>
      <c r="V33" s="5" t="s">
        <v>214</v>
      </c>
      <c r="W33" s="6"/>
    </row>
    <row r="34" spans="1:27" x14ac:dyDescent="0.2">
      <c r="A34" s="1">
        <v>45902.789919988427</v>
      </c>
      <c r="B34" s="12" t="s">
        <v>487</v>
      </c>
      <c r="C34" s="2">
        <v>35023478956</v>
      </c>
      <c r="D34" s="10">
        <v>41932</v>
      </c>
      <c r="E34" s="2" t="s">
        <v>34</v>
      </c>
      <c r="F34" s="2" t="s">
        <v>35</v>
      </c>
      <c r="G34" s="2" t="s">
        <v>215</v>
      </c>
      <c r="H34" s="2" t="s">
        <v>36</v>
      </c>
      <c r="I34" s="12" t="s">
        <v>488</v>
      </c>
      <c r="J34" s="2">
        <v>5348299577</v>
      </c>
      <c r="K34" s="2" t="s">
        <v>216</v>
      </c>
      <c r="L34" s="2" t="s">
        <v>217</v>
      </c>
      <c r="M34" s="2" t="s">
        <v>183</v>
      </c>
      <c r="N34" s="2" t="s">
        <v>28</v>
      </c>
      <c r="O34" s="12" t="s">
        <v>489</v>
      </c>
      <c r="P34" s="2">
        <v>5436281530</v>
      </c>
      <c r="Q34" s="2" t="s">
        <v>218</v>
      </c>
      <c r="R34" s="2" t="s">
        <v>219</v>
      </c>
      <c r="S34" s="2" t="s">
        <v>220</v>
      </c>
      <c r="T34" s="2" t="s">
        <v>28</v>
      </c>
      <c r="U34" s="2" t="s">
        <v>41</v>
      </c>
      <c r="V34" s="2" t="s">
        <v>221</v>
      </c>
    </row>
    <row r="35" spans="1:27" x14ac:dyDescent="0.2">
      <c r="A35" s="4">
        <v>45902.898626793976</v>
      </c>
      <c r="B35" s="13" t="s">
        <v>490</v>
      </c>
      <c r="C35" s="5">
        <v>41902248336</v>
      </c>
      <c r="D35" s="11">
        <v>42060</v>
      </c>
      <c r="E35" s="5" t="s">
        <v>66</v>
      </c>
      <c r="F35" s="5" t="s">
        <v>35</v>
      </c>
      <c r="G35" s="5" t="s">
        <v>346</v>
      </c>
      <c r="H35" s="5" t="s">
        <v>25</v>
      </c>
      <c r="I35" s="13" t="s">
        <v>491</v>
      </c>
      <c r="J35" s="5">
        <v>5323330616</v>
      </c>
      <c r="K35" s="5" t="s">
        <v>222</v>
      </c>
      <c r="L35" s="5" t="s">
        <v>223</v>
      </c>
      <c r="M35" s="5" t="s">
        <v>224</v>
      </c>
      <c r="N35" s="5" t="s">
        <v>28</v>
      </c>
      <c r="O35" s="13" t="s">
        <v>492</v>
      </c>
      <c r="P35" s="5">
        <v>5350540186</v>
      </c>
      <c r="Q35" s="5" t="s">
        <v>225</v>
      </c>
      <c r="R35" s="5" t="s">
        <v>226</v>
      </c>
      <c r="S35" s="5" t="s">
        <v>224</v>
      </c>
      <c r="T35" s="5" t="s">
        <v>28</v>
      </c>
      <c r="U35" s="5" t="s">
        <v>41</v>
      </c>
      <c r="V35" s="5" t="s">
        <v>227</v>
      </c>
      <c r="W35" s="6">
        <v>5332332502</v>
      </c>
    </row>
    <row r="36" spans="1:27" x14ac:dyDescent="0.2">
      <c r="A36" s="1">
        <v>45902.611286712963</v>
      </c>
      <c r="B36" s="12" t="s">
        <v>493</v>
      </c>
      <c r="C36" s="2">
        <v>18770018798</v>
      </c>
      <c r="D36" s="10">
        <v>42571</v>
      </c>
      <c r="E36" s="2" t="s">
        <v>228</v>
      </c>
      <c r="F36" s="2" t="s">
        <v>43</v>
      </c>
      <c r="G36" s="2" t="s">
        <v>343</v>
      </c>
      <c r="H36" s="2" t="s">
        <v>25</v>
      </c>
      <c r="I36" s="12" t="s">
        <v>494</v>
      </c>
      <c r="J36" s="2">
        <v>5323550830</v>
      </c>
      <c r="K36" s="2"/>
      <c r="L36" s="2" t="s">
        <v>132</v>
      </c>
      <c r="M36" s="2" t="s">
        <v>229</v>
      </c>
      <c r="N36" s="2" t="s">
        <v>28</v>
      </c>
      <c r="O36" s="12" t="s">
        <v>495</v>
      </c>
      <c r="P36" s="2">
        <v>5078334575</v>
      </c>
      <c r="Q36" s="2" t="s">
        <v>230</v>
      </c>
      <c r="R36" s="2" t="s">
        <v>160</v>
      </c>
      <c r="S36" s="2"/>
      <c r="T36" s="2" t="s">
        <v>28</v>
      </c>
      <c r="U36" s="2" t="s">
        <v>41</v>
      </c>
      <c r="V36" s="2" t="s">
        <v>231</v>
      </c>
      <c r="W36" s="3"/>
    </row>
    <row r="37" spans="1:27" x14ac:dyDescent="0.2">
      <c r="A37" s="4">
        <v>45902.96194523148</v>
      </c>
      <c r="B37" s="13" t="s">
        <v>232</v>
      </c>
      <c r="C37" s="5">
        <v>16862215438</v>
      </c>
      <c r="D37" s="11">
        <v>42655</v>
      </c>
      <c r="E37" s="5" t="s">
        <v>233</v>
      </c>
      <c r="F37" s="5" t="s">
        <v>43</v>
      </c>
      <c r="G37" s="5" t="s">
        <v>342</v>
      </c>
      <c r="H37" s="5" t="s">
        <v>25</v>
      </c>
      <c r="I37" s="13" t="s">
        <v>496</v>
      </c>
      <c r="J37" s="5">
        <v>5057820891</v>
      </c>
      <c r="L37" s="5" t="s">
        <v>26</v>
      </c>
      <c r="M37" s="5" t="s">
        <v>234</v>
      </c>
      <c r="N37" s="5" t="s">
        <v>28</v>
      </c>
      <c r="O37" s="13" t="s">
        <v>497</v>
      </c>
      <c r="P37" s="5">
        <v>5334520891</v>
      </c>
      <c r="R37" s="5" t="s">
        <v>105</v>
      </c>
      <c r="T37" s="5" t="s">
        <v>28</v>
      </c>
      <c r="U37" s="5" t="s">
        <v>41</v>
      </c>
      <c r="V37" s="5" t="s">
        <v>235</v>
      </c>
    </row>
    <row r="38" spans="1:27" x14ac:dyDescent="0.2">
      <c r="A38" s="1">
        <v>45902.775739305551</v>
      </c>
      <c r="B38" s="12" t="s">
        <v>498</v>
      </c>
      <c r="C38" s="2">
        <v>22807883884</v>
      </c>
      <c r="D38" s="10">
        <v>42198</v>
      </c>
      <c r="E38" s="2" t="s">
        <v>210</v>
      </c>
      <c r="F38" s="2" t="s">
        <v>43</v>
      </c>
      <c r="G38" s="2" t="s">
        <v>175</v>
      </c>
      <c r="H38" s="2" t="s">
        <v>25</v>
      </c>
      <c r="I38" s="12" t="s">
        <v>499</v>
      </c>
      <c r="J38" s="2">
        <v>5524049638</v>
      </c>
      <c r="K38" s="2" t="s">
        <v>236</v>
      </c>
      <c r="L38" s="2" t="s">
        <v>237</v>
      </c>
      <c r="M38" s="2" t="s">
        <v>238</v>
      </c>
      <c r="N38" s="2" t="s">
        <v>28</v>
      </c>
      <c r="O38" s="12" t="s">
        <v>500</v>
      </c>
      <c r="P38" s="2">
        <v>5431126384</v>
      </c>
      <c r="R38" s="2" t="s">
        <v>105</v>
      </c>
      <c r="T38" s="2" t="s">
        <v>28</v>
      </c>
      <c r="U38" s="2" t="s">
        <v>32</v>
      </c>
      <c r="V38" s="2" t="s">
        <v>239</v>
      </c>
    </row>
    <row r="39" spans="1:27" x14ac:dyDescent="0.2">
      <c r="A39" s="4">
        <v>45902.619937048614</v>
      </c>
      <c r="B39" s="13" t="s">
        <v>365</v>
      </c>
      <c r="C39" s="5">
        <v>20365960146</v>
      </c>
      <c r="D39" s="11">
        <v>41782</v>
      </c>
      <c r="E39" s="5" t="s">
        <v>240</v>
      </c>
      <c r="F39" s="5" t="s">
        <v>35</v>
      </c>
      <c r="G39" s="5" t="s">
        <v>102</v>
      </c>
      <c r="H39" s="5" t="s">
        <v>68</v>
      </c>
      <c r="I39" s="13" t="s">
        <v>501</v>
      </c>
      <c r="J39" s="5">
        <v>5326697593</v>
      </c>
      <c r="K39" s="5"/>
      <c r="L39" s="5" t="s">
        <v>38</v>
      </c>
      <c r="M39" s="5" t="s">
        <v>38</v>
      </c>
      <c r="N39" s="5" t="s">
        <v>28</v>
      </c>
      <c r="O39" s="13" t="s">
        <v>502</v>
      </c>
      <c r="P39" s="5">
        <v>5304293443</v>
      </c>
      <c r="Q39" s="5"/>
      <c r="R39" s="5" t="s">
        <v>77</v>
      </c>
      <c r="S39" s="5" t="s">
        <v>77</v>
      </c>
      <c r="T39" s="5" t="s">
        <v>28</v>
      </c>
      <c r="U39" s="5" t="s">
        <v>41</v>
      </c>
      <c r="V39" s="5" t="s">
        <v>241</v>
      </c>
      <c r="W39" s="6">
        <v>5312831249</v>
      </c>
    </row>
    <row r="40" spans="1:27" x14ac:dyDescent="0.2">
      <c r="A40" s="1">
        <v>45904.696665914351</v>
      </c>
      <c r="B40" s="12" t="s">
        <v>503</v>
      </c>
      <c r="C40" s="2">
        <v>33826517858</v>
      </c>
      <c r="D40" s="10">
        <v>45956</v>
      </c>
      <c r="E40" s="2" t="s">
        <v>242</v>
      </c>
      <c r="F40" s="2" t="s">
        <v>35</v>
      </c>
      <c r="G40" s="2" t="s">
        <v>243</v>
      </c>
      <c r="H40" s="2" t="s">
        <v>25</v>
      </c>
      <c r="I40" s="12" t="s">
        <v>504</v>
      </c>
      <c r="J40" s="2">
        <v>5394353343</v>
      </c>
      <c r="K40" s="2" t="s">
        <v>244</v>
      </c>
      <c r="L40" s="2" t="s">
        <v>245</v>
      </c>
      <c r="M40" s="2" t="s">
        <v>246</v>
      </c>
      <c r="N40" s="2" t="s">
        <v>28</v>
      </c>
      <c r="O40" s="12" t="s">
        <v>505</v>
      </c>
      <c r="P40" s="2">
        <v>5346021929</v>
      </c>
      <c r="Q40" s="2" t="s">
        <v>150</v>
      </c>
      <c r="R40" s="2" t="s">
        <v>149</v>
      </c>
      <c r="S40" s="2" t="s">
        <v>150</v>
      </c>
      <c r="T40" s="2" t="s">
        <v>28</v>
      </c>
      <c r="U40" s="2" t="s">
        <v>41</v>
      </c>
      <c r="V40" s="2" t="s">
        <v>247</v>
      </c>
      <c r="W40" s="3" t="s">
        <v>150</v>
      </c>
    </row>
    <row r="41" spans="1:27" x14ac:dyDescent="0.2">
      <c r="A41" s="4">
        <v>45902.746524351853</v>
      </c>
      <c r="B41" s="13" t="s">
        <v>248</v>
      </c>
      <c r="C41" s="5">
        <v>34489495590</v>
      </c>
      <c r="D41" s="11">
        <v>41552</v>
      </c>
      <c r="E41" s="5" t="s">
        <v>210</v>
      </c>
      <c r="F41" s="5" t="s">
        <v>24</v>
      </c>
      <c r="G41" s="5" t="s">
        <v>249</v>
      </c>
      <c r="H41" s="5" t="s">
        <v>25</v>
      </c>
      <c r="I41" s="13" t="s">
        <v>506</v>
      </c>
      <c r="J41" s="5">
        <v>5054478352</v>
      </c>
      <c r="K41" s="5" t="s">
        <v>250</v>
      </c>
      <c r="L41" s="5" t="s">
        <v>251</v>
      </c>
      <c r="M41" s="5" t="s">
        <v>252</v>
      </c>
      <c r="N41" s="5" t="s">
        <v>28</v>
      </c>
      <c r="O41" s="13" t="s">
        <v>507</v>
      </c>
      <c r="P41" s="5">
        <v>5052441026</v>
      </c>
      <c r="Q41" s="5" t="s">
        <v>253</v>
      </c>
      <c r="R41" s="5" t="s">
        <v>237</v>
      </c>
      <c r="S41" s="5" t="s">
        <v>254</v>
      </c>
      <c r="T41" s="5" t="s">
        <v>28</v>
      </c>
      <c r="U41" s="5" t="s">
        <v>41</v>
      </c>
      <c r="V41" s="5" t="s">
        <v>255</v>
      </c>
    </row>
    <row r="42" spans="1:27" x14ac:dyDescent="0.2">
      <c r="A42" s="1">
        <v>45904.715310185187</v>
      </c>
      <c r="B42" s="12" t="s">
        <v>508</v>
      </c>
      <c r="C42" s="2">
        <v>30556621480</v>
      </c>
      <c r="D42" s="10">
        <v>42712</v>
      </c>
      <c r="E42" s="2" t="s">
        <v>290</v>
      </c>
      <c r="F42" s="2" t="s">
        <v>43</v>
      </c>
      <c r="G42" s="2" t="s">
        <v>351</v>
      </c>
      <c r="H42" s="2" t="s">
        <v>36</v>
      </c>
      <c r="I42" s="12" t="s">
        <v>509</v>
      </c>
      <c r="J42" s="2">
        <v>5325749295</v>
      </c>
      <c r="L42" s="2" t="s">
        <v>37</v>
      </c>
      <c r="M42" s="2" t="s">
        <v>555</v>
      </c>
      <c r="N42" s="2" t="s">
        <v>28</v>
      </c>
      <c r="O42" s="12" t="s">
        <v>510</v>
      </c>
      <c r="P42" s="2">
        <v>5556371763</v>
      </c>
      <c r="R42" s="2" t="s">
        <v>149</v>
      </c>
      <c r="T42" s="2" t="s">
        <v>28</v>
      </c>
      <c r="U42" s="2" t="s">
        <v>32</v>
      </c>
      <c r="V42" s="2" t="s">
        <v>556</v>
      </c>
      <c r="Y42" t="s">
        <v>398</v>
      </c>
      <c r="Z42" t="s">
        <v>554</v>
      </c>
      <c r="AA42" t="s">
        <v>396</v>
      </c>
    </row>
    <row r="43" spans="1:27" x14ac:dyDescent="0.2">
      <c r="A43" s="4">
        <v>45904.719802372681</v>
      </c>
      <c r="B43" s="13" t="s">
        <v>511</v>
      </c>
      <c r="C43" s="5">
        <v>31837584166</v>
      </c>
      <c r="D43" s="11">
        <v>41642</v>
      </c>
      <c r="E43" s="5" t="s">
        <v>34</v>
      </c>
      <c r="F43" s="5" t="s">
        <v>24</v>
      </c>
      <c r="G43" s="5" t="s">
        <v>344</v>
      </c>
      <c r="H43" s="5" t="s">
        <v>36</v>
      </c>
      <c r="I43" s="13" t="s">
        <v>512</v>
      </c>
      <c r="J43" s="5">
        <v>5367775976</v>
      </c>
      <c r="L43" s="5" t="s">
        <v>256</v>
      </c>
      <c r="M43" s="5" t="s">
        <v>257</v>
      </c>
      <c r="N43" s="5" t="s">
        <v>49</v>
      </c>
      <c r="O43" s="13" t="s">
        <v>513</v>
      </c>
      <c r="P43" s="5">
        <v>5367775976</v>
      </c>
      <c r="Q43" s="5" t="s">
        <v>258</v>
      </c>
      <c r="R43" s="5" t="s">
        <v>149</v>
      </c>
      <c r="T43" s="5" t="s">
        <v>28</v>
      </c>
      <c r="U43" s="5" t="s">
        <v>259</v>
      </c>
      <c r="V43" s="5" t="s">
        <v>260</v>
      </c>
      <c r="W43" s="6">
        <v>5424772857</v>
      </c>
    </row>
    <row r="44" spans="1:27" x14ac:dyDescent="0.2">
      <c r="A44" s="1">
        <v>45902.648507129634</v>
      </c>
      <c r="B44" s="12" t="s">
        <v>514</v>
      </c>
      <c r="C44" s="2">
        <v>39376333344</v>
      </c>
      <c r="D44" s="10">
        <v>41575</v>
      </c>
      <c r="E44" s="2" t="s">
        <v>34</v>
      </c>
      <c r="F44" s="2" t="s">
        <v>24</v>
      </c>
      <c r="G44" s="2" t="s">
        <v>261</v>
      </c>
      <c r="H44" s="2" t="s">
        <v>25</v>
      </c>
      <c r="I44" s="12" t="s">
        <v>515</v>
      </c>
      <c r="J44" s="2">
        <v>5451002702</v>
      </c>
      <c r="L44" s="2" t="s">
        <v>262</v>
      </c>
      <c r="M44" s="2" t="s">
        <v>263</v>
      </c>
      <c r="N44" s="2" t="s">
        <v>28</v>
      </c>
      <c r="O44" s="12" t="s">
        <v>516</v>
      </c>
      <c r="P44" s="2">
        <v>5076815529</v>
      </c>
      <c r="Q44" s="2" t="s">
        <v>264</v>
      </c>
      <c r="R44" s="2" t="s">
        <v>86</v>
      </c>
      <c r="S44" s="2" t="s">
        <v>265</v>
      </c>
      <c r="T44" s="2" t="s">
        <v>28</v>
      </c>
      <c r="U44" s="2" t="s">
        <v>41</v>
      </c>
      <c r="V44" s="2" t="s">
        <v>266</v>
      </c>
      <c r="W44" s="3">
        <v>5456805529</v>
      </c>
    </row>
    <row r="45" spans="1:27" x14ac:dyDescent="0.2">
      <c r="A45" s="4">
        <v>45902.621777442131</v>
      </c>
      <c r="B45" s="13" t="s">
        <v>517</v>
      </c>
      <c r="C45" s="5">
        <v>22270902600</v>
      </c>
      <c r="D45" s="11">
        <v>42151</v>
      </c>
      <c r="E45" s="5" t="s">
        <v>34</v>
      </c>
      <c r="F45" s="5" t="s">
        <v>35</v>
      </c>
      <c r="G45" s="5" t="s">
        <v>346</v>
      </c>
      <c r="H45" s="5" t="s">
        <v>25</v>
      </c>
      <c r="I45" s="13" t="s">
        <v>518</v>
      </c>
      <c r="J45" s="5">
        <v>5076558919</v>
      </c>
      <c r="K45" s="5"/>
      <c r="L45" s="5" t="s">
        <v>267</v>
      </c>
      <c r="M45" s="5" t="s">
        <v>268</v>
      </c>
      <c r="N45" s="5" t="s">
        <v>28</v>
      </c>
      <c r="O45" s="13" t="s">
        <v>519</v>
      </c>
      <c r="P45" s="5">
        <v>5535355989</v>
      </c>
      <c r="Q45" s="5" t="s">
        <v>269</v>
      </c>
      <c r="R45" s="5" t="s">
        <v>270</v>
      </c>
      <c r="S45" s="5" t="s">
        <v>271</v>
      </c>
      <c r="T45" s="5" t="s">
        <v>28</v>
      </c>
      <c r="U45" s="5" t="s">
        <v>41</v>
      </c>
      <c r="V45" s="5" t="s">
        <v>272</v>
      </c>
      <c r="W45" s="6"/>
    </row>
    <row r="46" spans="1:27" x14ac:dyDescent="0.2">
      <c r="A46" s="1">
        <v>45904.746301874999</v>
      </c>
      <c r="B46" s="12" t="s">
        <v>520</v>
      </c>
      <c r="C46" s="2">
        <v>41254269126</v>
      </c>
      <c r="D46" s="10">
        <v>41680</v>
      </c>
      <c r="E46" s="2" t="s">
        <v>273</v>
      </c>
      <c r="F46" s="2" t="s">
        <v>24</v>
      </c>
      <c r="G46" s="2" t="s">
        <v>274</v>
      </c>
      <c r="H46" s="2" t="s">
        <v>36</v>
      </c>
      <c r="I46" s="12" t="s">
        <v>521</v>
      </c>
      <c r="J46" s="9">
        <v>5425420567</v>
      </c>
      <c r="K46" s="2" t="s">
        <v>275</v>
      </c>
      <c r="L46" s="2" t="s">
        <v>276</v>
      </c>
      <c r="M46" s="2" t="s">
        <v>277</v>
      </c>
      <c r="N46" s="2" t="s">
        <v>28</v>
      </c>
      <c r="O46" s="12" t="s">
        <v>522</v>
      </c>
      <c r="P46" s="9">
        <v>5413718192</v>
      </c>
      <c r="Q46" s="2" t="s">
        <v>278</v>
      </c>
      <c r="R46" s="2" t="s">
        <v>77</v>
      </c>
      <c r="S46" s="2" t="s">
        <v>279</v>
      </c>
      <c r="T46" s="2" t="s">
        <v>28</v>
      </c>
      <c r="U46" s="2" t="s">
        <v>41</v>
      </c>
      <c r="V46" s="2" t="s">
        <v>280</v>
      </c>
    </row>
    <row r="47" spans="1:27" x14ac:dyDescent="0.2">
      <c r="A47" s="4">
        <v>45903.854548113421</v>
      </c>
      <c r="B47" s="13" t="s">
        <v>523</v>
      </c>
      <c r="C47" s="5">
        <v>44728154522</v>
      </c>
      <c r="D47" s="11">
        <v>42366</v>
      </c>
      <c r="E47" s="5" t="s">
        <v>34</v>
      </c>
      <c r="F47" s="5" t="s">
        <v>43</v>
      </c>
      <c r="G47" s="5" t="s">
        <v>343</v>
      </c>
      <c r="H47" s="5" t="s">
        <v>25</v>
      </c>
      <c r="I47" s="13" t="s">
        <v>524</v>
      </c>
      <c r="J47" s="5">
        <v>5536171527</v>
      </c>
      <c r="L47" s="5" t="s">
        <v>281</v>
      </c>
      <c r="M47" s="5" t="s">
        <v>282</v>
      </c>
      <c r="N47" s="5" t="s">
        <v>28</v>
      </c>
      <c r="O47" s="13" t="s">
        <v>525</v>
      </c>
      <c r="P47" s="5">
        <v>5530246527</v>
      </c>
      <c r="R47" s="5" t="s">
        <v>60</v>
      </c>
      <c r="S47" s="5" t="s">
        <v>283</v>
      </c>
      <c r="T47" s="5" t="s">
        <v>28</v>
      </c>
      <c r="U47" s="5" t="s">
        <v>41</v>
      </c>
      <c r="V47" s="5" t="s">
        <v>284</v>
      </c>
    </row>
    <row r="48" spans="1:27" x14ac:dyDescent="0.2">
      <c r="A48" s="1">
        <v>45902.623605717592</v>
      </c>
      <c r="B48" s="12" t="s">
        <v>526</v>
      </c>
      <c r="C48" s="2">
        <v>72214173894</v>
      </c>
      <c r="D48" s="10">
        <v>42794</v>
      </c>
      <c r="E48" s="2" t="s">
        <v>240</v>
      </c>
      <c r="F48" s="2" t="s">
        <v>138</v>
      </c>
      <c r="G48" s="2" t="s">
        <v>352</v>
      </c>
      <c r="H48" s="2" t="s">
        <v>25</v>
      </c>
      <c r="I48" s="12" t="s">
        <v>501</v>
      </c>
      <c r="J48" s="2">
        <v>5326697593</v>
      </c>
      <c r="K48" s="2"/>
      <c r="L48" s="2" t="s">
        <v>38</v>
      </c>
      <c r="M48" s="2" t="s">
        <v>38</v>
      </c>
      <c r="N48" s="2" t="s">
        <v>28</v>
      </c>
      <c r="O48" s="12" t="s">
        <v>502</v>
      </c>
      <c r="P48" s="2">
        <v>5304293443</v>
      </c>
      <c r="Q48" s="2"/>
      <c r="R48" s="2" t="s">
        <v>77</v>
      </c>
      <c r="S48" s="2" t="s">
        <v>77</v>
      </c>
      <c r="T48" s="2" t="s">
        <v>28</v>
      </c>
      <c r="U48" s="2" t="s">
        <v>41</v>
      </c>
      <c r="V48" s="2" t="s">
        <v>285</v>
      </c>
      <c r="W48" s="3"/>
    </row>
    <row r="49" spans="1:27" x14ac:dyDescent="0.2">
      <c r="A49" s="4">
        <v>45902.634020069439</v>
      </c>
      <c r="B49" s="13" t="s">
        <v>361</v>
      </c>
      <c r="C49" s="5">
        <v>25417796810</v>
      </c>
      <c r="D49" s="11">
        <v>42021</v>
      </c>
      <c r="E49" s="5" t="s">
        <v>286</v>
      </c>
      <c r="F49" s="5" t="s">
        <v>35</v>
      </c>
      <c r="G49" s="5" t="s">
        <v>215</v>
      </c>
      <c r="H49" s="5" t="s">
        <v>36</v>
      </c>
      <c r="I49" s="13" t="s">
        <v>527</v>
      </c>
      <c r="J49" s="5">
        <v>5379718489</v>
      </c>
      <c r="L49" s="5" t="s">
        <v>256</v>
      </c>
      <c r="M49" s="5" t="s">
        <v>287</v>
      </c>
      <c r="N49" s="5" t="s">
        <v>28</v>
      </c>
      <c r="O49" s="13" t="s">
        <v>528</v>
      </c>
      <c r="P49" s="5">
        <v>5366180830</v>
      </c>
      <c r="Q49" s="5" t="s">
        <v>288</v>
      </c>
      <c r="R49" s="5" t="s">
        <v>149</v>
      </c>
      <c r="T49" s="5" t="s">
        <v>28</v>
      </c>
      <c r="U49" s="5" t="s">
        <v>41</v>
      </c>
      <c r="V49" s="5" t="s">
        <v>289</v>
      </c>
    </row>
    <row r="50" spans="1:27" x14ac:dyDescent="0.2">
      <c r="A50" s="1">
        <v>45904.755770057869</v>
      </c>
      <c r="B50" s="12" t="s">
        <v>357</v>
      </c>
      <c r="C50" s="2">
        <v>40300302596</v>
      </c>
      <c r="D50" s="10">
        <v>42647</v>
      </c>
      <c r="E50" s="2" t="s">
        <v>290</v>
      </c>
      <c r="F50" s="2" t="s">
        <v>43</v>
      </c>
      <c r="G50" s="2" t="s">
        <v>353</v>
      </c>
      <c r="H50" s="2" t="s">
        <v>25</v>
      </c>
      <c r="I50" s="12" t="s">
        <v>530</v>
      </c>
      <c r="J50" s="2">
        <v>5063820752</v>
      </c>
      <c r="K50" s="2" t="s">
        <v>291</v>
      </c>
      <c r="L50" s="2" t="s">
        <v>292</v>
      </c>
      <c r="M50" s="2" t="s">
        <v>293</v>
      </c>
      <c r="N50" s="2" t="s">
        <v>28</v>
      </c>
      <c r="O50" s="12" t="s">
        <v>529</v>
      </c>
      <c r="P50" s="2">
        <v>5456072034</v>
      </c>
      <c r="Q50" s="2" t="s">
        <v>294</v>
      </c>
      <c r="R50" s="2" t="s">
        <v>149</v>
      </c>
      <c r="T50" s="2" t="s">
        <v>28</v>
      </c>
      <c r="U50" s="2" t="s">
        <v>41</v>
      </c>
      <c r="V50" s="2" t="s">
        <v>295</v>
      </c>
    </row>
    <row r="51" spans="1:27" x14ac:dyDescent="0.2">
      <c r="A51" s="4">
        <v>45902.630089733793</v>
      </c>
      <c r="B51" s="13" t="s">
        <v>358</v>
      </c>
      <c r="C51" s="5">
        <v>99771266692</v>
      </c>
      <c r="D51" s="11">
        <v>42039</v>
      </c>
      <c r="E51" s="5" t="s">
        <v>296</v>
      </c>
      <c r="F51" s="5" t="s">
        <v>35</v>
      </c>
      <c r="G51" s="5" t="s">
        <v>349</v>
      </c>
      <c r="H51" s="5" t="s">
        <v>25</v>
      </c>
      <c r="I51" s="13" t="s">
        <v>531</v>
      </c>
      <c r="J51" s="5">
        <v>5052991100</v>
      </c>
      <c r="K51" s="5" t="s">
        <v>297</v>
      </c>
      <c r="L51" s="5" t="s">
        <v>298</v>
      </c>
      <c r="M51" s="5" t="s">
        <v>299</v>
      </c>
      <c r="N51" s="5" t="s">
        <v>28</v>
      </c>
      <c r="O51" s="13" t="s">
        <v>532</v>
      </c>
      <c r="P51" s="5">
        <v>5358739707</v>
      </c>
      <c r="Q51" s="5" t="s">
        <v>300</v>
      </c>
      <c r="R51" s="5" t="s">
        <v>149</v>
      </c>
      <c r="S51" s="5" t="s">
        <v>150</v>
      </c>
      <c r="T51" s="5" t="s">
        <v>28</v>
      </c>
      <c r="U51" s="5" t="s">
        <v>32</v>
      </c>
      <c r="V51" s="5" t="s">
        <v>301</v>
      </c>
      <c r="W51" s="6" t="s">
        <v>150</v>
      </c>
      <c r="Y51" t="s">
        <v>398</v>
      </c>
      <c r="Z51" t="s">
        <v>554</v>
      </c>
      <c r="AA51" t="s">
        <v>396</v>
      </c>
    </row>
    <row r="52" spans="1:27" x14ac:dyDescent="0.2">
      <c r="A52" s="1">
        <v>45902.663228240737</v>
      </c>
      <c r="B52" s="12" t="s">
        <v>533</v>
      </c>
      <c r="C52" s="2">
        <v>29680656574</v>
      </c>
      <c r="D52" s="10">
        <v>41908</v>
      </c>
      <c r="E52" s="2" t="s">
        <v>228</v>
      </c>
      <c r="F52" s="2" t="s">
        <v>24</v>
      </c>
      <c r="G52" s="2" t="s">
        <v>354</v>
      </c>
      <c r="H52" s="2" t="s">
        <v>25</v>
      </c>
      <c r="I52" s="12" t="s">
        <v>534</v>
      </c>
      <c r="J52" s="2">
        <v>5422292702</v>
      </c>
      <c r="K52" s="2" t="s">
        <v>302</v>
      </c>
      <c r="L52" s="2" t="s">
        <v>303</v>
      </c>
      <c r="M52" s="2" t="s">
        <v>304</v>
      </c>
      <c r="N52" s="2" t="s">
        <v>28</v>
      </c>
      <c r="O52" s="12" t="s">
        <v>535</v>
      </c>
      <c r="P52" s="2">
        <v>5356084364</v>
      </c>
      <c r="Q52" s="2" t="s">
        <v>305</v>
      </c>
      <c r="R52" s="2" t="s">
        <v>149</v>
      </c>
      <c r="T52" s="2" t="s">
        <v>28</v>
      </c>
      <c r="U52" s="2" t="s">
        <v>41</v>
      </c>
      <c r="V52" s="2" t="s">
        <v>306</v>
      </c>
    </row>
    <row r="53" spans="1:27" x14ac:dyDescent="0.2">
      <c r="A53" s="4">
        <v>45902.817787418986</v>
      </c>
      <c r="B53" s="13" t="s">
        <v>536</v>
      </c>
      <c r="C53" s="5">
        <v>21901910878</v>
      </c>
      <c r="D53" s="11">
        <v>42019</v>
      </c>
      <c r="E53" s="5" t="s">
        <v>34</v>
      </c>
      <c r="F53" s="5" t="s">
        <v>35</v>
      </c>
      <c r="G53" s="5" t="s">
        <v>338</v>
      </c>
      <c r="H53" s="5" t="s">
        <v>25</v>
      </c>
      <c r="I53" s="13" t="s">
        <v>537</v>
      </c>
      <c r="J53" s="5">
        <v>5539148887</v>
      </c>
      <c r="K53" s="5" t="s">
        <v>307</v>
      </c>
      <c r="L53" s="5" t="s">
        <v>45</v>
      </c>
      <c r="M53" s="5" t="s">
        <v>308</v>
      </c>
      <c r="N53" s="5" t="s">
        <v>28</v>
      </c>
      <c r="O53" s="13" t="s">
        <v>538</v>
      </c>
      <c r="P53" s="5">
        <v>5467250907</v>
      </c>
      <c r="Q53" s="5" t="s">
        <v>150</v>
      </c>
      <c r="R53" s="5" t="s">
        <v>105</v>
      </c>
      <c r="S53" s="5" t="s">
        <v>150</v>
      </c>
      <c r="T53" s="5" t="s">
        <v>28</v>
      </c>
      <c r="U53" s="5" t="s">
        <v>32</v>
      </c>
      <c r="V53" s="5" t="s">
        <v>309</v>
      </c>
      <c r="W53" s="6">
        <v>5388996906</v>
      </c>
    </row>
    <row r="54" spans="1:27" x14ac:dyDescent="0.2">
      <c r="A54" s="1">
        <v>45904.752606018519</v>
      </c>
      <c r="B54" s="12" t="s">
        <v>310</v>
      </c>
      <c r="C54" s="2">
        <v>18380033624</v>
      </c>
      <c r="D54" s="10">
        <v>41992</v>
      </c>
      <c r="E54" s="2" t="s">
        <v>210</v>
      </c>
      <c r="F54" s="2" t="s">
        <v>35</v>
      </c>
      <c r="G54" s="2" t="s">
        <v>311</v>
      </c>
      <c r="H54" s="2" t="s">
        <v>25</v>
      </c>
      <c r="I54" s="12" t="s">
        <v>506</v>
      </c>
      <c r="J54" s="2">
        <v>5054478352</v>
      </c>
      <c r="K54" s="2" t="s">
        <v>250</v>
      </c>
      <c r="L54" s="2" t="s">
        <v>251</v>
      </c>
      <c r="M54" s="2" t="s">
        <v>312</v>
      </c>
      <c r="N54" s="2" t="s">
        <v>28</v>
      </c>
      <c r="O54" s="12" t="s">
        <v>507</v>
      </c>
      <c r="P54" s="2">
        <v>5052441016</v>
      </c>
      <c r="Q54" s="2" t="s">
        <v>253</v>
      </c>
      <c r="R54" s="2" t="s">
        <v>237</v>
      </c>
      <c r="S54" s="2" t="s">
        <v>313</v>
      </c>
      <c r="T54" s="2" t="s">
        <v>28</v>
      </c>
      <c r="U54" s="2" t="s">
        <v>41</v>
      </c>
      <c r="V54" s="2" t="s">
        <v>314</v>
      </c>
    </row>
    <row r="55" spans="1:27" x14ac:dyDescent="0.2">
      <c r="A55" s="4">
        <v>45902.879948113427</v>
      </c>
      <c r="B55" s="13" t="s">
        <v>539</v>
      </c>
      <c r="C55" s="5">
        <v>19027110180</v>
      </c>
      <c r="D55" s="11">
        <v>41740</v>
      </c>
      <c r="E55" s="5" t="s">
        <v>315</v>
      </c>
      <c r="F55" s="5" t="s">
        <v>24</v>
      </c>
      <c r="G55" s="5" t="s">
        <v>355</v>
      </c>
      <c r="H55" s="5" t="s">
        <v>25</v>
      </c>
      <c r="I55" s="13" t="s">
        <v>540</v>
      </c>
      <c r="J55" s="5">
        <v>5301568820</v>
      </c>
      <c r="K55" s="5" t="s">
        <v>316</v>
      </c>
      <c r="L55" s="5" t="s">
        <v>97</v>
      </c>
      <c r="M55" s="5" t="s">
        <v>317</v>
      </c>
      <c r="N55" s="5" t="s">
        <v>28</v>
      </c>
      <c r="O55" s="13" t="s">
        <v>541</v>
      </c>
      <c r="P55" s="5">
        <v>5426368222</v>
      </c>
      <c r="R55" s="5" t="s">
        <v>105</v>
      </c>
      <c r="T55" s="5" t="s">
        <v>28</v>
      </c>
      <c r="U55" s="5" t="s">
        <v>41</v>
      </c>
      <c r="V55" s="5" t="s">
        <v>318</v>
      </c>
    </row>
    <row r="56" spans="1:27" x14ac:dyDescent="0.2">
      <c r="A56" s="1">
        <v>45902.640135844907</v>
      </c>
      <c r="B56" s="12" t="s">
        <v>542</v>
      </c>
      <c r="C56" s="2">
        <v>15152023784</v>
      </c>
      <c r="D56" s="10">
        <v>42600</v>
      </c>
      <c r="E56" s="2" t="s">
        <v>319</v>
      </c>
      <c r="F56" s="2" t="s">
        <v>43</v>
      </c>
      <c r="G56" s="2" t="s">
        <v>351</v>
      </c>
      <c r="H56" s="2" t="s">
        <v>36</v>
      </c>
      <c r="I56" s="12" t="s">
        <v>543</v>
      </c>
      <c r="J56" s="2">
        <v>5541549523</v>
      </c>
      <c r="L56" s="2" t="s">
        <v>320</v>
      </c>
      <c r="M56" s="2" t="s">
        <v>321</v>
      </c>
      <c r="N56" s="2" t="s">
        <v>28</v>
      </c>
      <c r="O56" s="12" t="s">
        <v>544</v>
      </c>
      <c r="P56" s="2">
        <v>5540157914</v>
      </c>
      <c r="Q56" s="2" t="s">
        <v>322</v>
      </c>
      <c r="R56" s="2" t="s">
        <v>323</v>
      </c>
      <c r="S56" s="2" t="s">
        <v>324</v>
      </c>
      <c r="T56" s="2" t="s">
        <v>28</v>
      </c>
      <c r="U56" s="2" t="s">
        <v>41</v>
      </c>
      <c r="V56" s="2" t="s">
        <v>325</v>
      </c>
    </row>
    <row r="57" spans="1:27" x14ac:dyDescent="0.2">
      <c r="A57" s="4">
        <v>45904.754641192128</v>
      </c>
      <c r="B57" s="13" t="s">
        <v>545</v>
      </c>
      <c r="C57" s="5">
        <v>33634526530</v>
      </c>
      <c r="D57" s="11">
        <v>41878</v>
      </c>
      <c r="E57" s="5" t="s">
        <v>101</v>
      </c>
      <c r="F57" s="5" t="s">
        <v>24</v>
      </c>
      <c r="G57" s="2" t="s">
        <v>336</v>
      </c>
      <c r="H57" s="5" t="s">
        <v>25</v>
      </c>
      <c r="I57" s="13" t="s">
        <v>546</v>
      </c>
      <c r="J57" s="5">
        <v>5524124224</v>
      </c>
      <c r="K57" s="5" t="s">
        <v>326</v>
      </c>
      <c r="L57" s="5" t="s">
        <v>60</v>
      </c>
      <c r="M57" s="5" t="s">
        <v>327</v>
      </c>
      <c r="N57" s="5" t="s">
        <v>28</v>
      </c>
      <c r="O57" s="13" t="s">
        <v>547</v>
      </c>
      <c r="P57" s="5">
        <v>5532666132</v>
      </c>
      <c r="R57" s="5" t="s">
        <v>105</v>
      </c>
      <c r="T57" s="5" t="s">
        <v>28</v>
      </c>
      <c r="U57" s="5" t="s">
        <v>32</v>
      </c>
      <c r="V57" s="5" t="s">
        <v>328</v>
      </c>
    </row>
    <row r="58" spans="1:27" x14ac:dyDescent="0.2">
      <c r="A58" s="1">
        <v>45904.756393564814</v>
      </c>
      <c r="B58" s="12" t="s">
        <v>548</v>
      </c>
      <c r="C58" s="2">
        <v>34474495314</v>
      </c>
      <c r="D58" s="10">
        <v>42033</v>
      </c>
      <c r="E58" s="2" t="s">
        <v>23</v>
      </c>
      <c r="F58" s="2" t="s">
        <v>35</v>
      </c>
      <c r="G58" s="2" t="s">
        <v>356</v>
      </c>
      <c r="H58" s="2" t="s">
        <v>68</v>
      </c>
      <c r="I58" s="12" t="s">
        <v>549</v>
      </c>
      <c r="J58" s="2">
        <v>5424880530</v>
      </c>
      <c r="L58" s="2" t="s">
        <v>125</v>
      </c>
      <c r="M58" s="2" t="s">
        <v>75</v>
      </c>
      <c r="N58" s="2" t="s">
        <v>28</v>
      </c>
      <c r="O58" s="12" t="s">
        <v>550</v>
      </c>
      <c r="P58" s="2">
        <v>5393617943</v>
      </c>
      <c r="R58" s="2" t="s">
        <v>105</v>
      </c>
      <c r="T58" s="2" t="s">
        <v>28</v>
      </c>
      <c r="U58" s="2" t="s">
        <v>41</v>
      </c>
      <c r="V58" s="2" t="s">
        <v>329</v>
      </c>
    </row>
    <row r="59" spans="1:27" x14ac:dyDescent="0.2">
      <c r="A59" s="4">
        <v>45902.702501134263</v>
      </c>
      <c r="B59" s="13" t="s">
        <v>551</v>
      </c>
      <c r="C59" s="5">
        <v>21328933764</v>
      </c>
      <c r="D59" s="11">
        <v>41694</v>
      </c>
      <c r="E59" s="5" t="s">
        <v>34</v>
      </c>
      <c r="F59" s="5" t="s">
        <v>24</v>
      </c>
      <c r="G59" s="2" t="s">
        <v>243</v>
      </c>
      <c r="H59" s="5" t="s">
        <v>25</v>
      </c>
      <c r="I59" s="13" t="s">
        <v>552</v>
      </c>
      <c r="J59" s="5">
        <v>5435959669</v>
      </c>
      <c r="K59" s="5" t="s">
        <v>330</v>
      </c>
      <c r="L59" s="5" t="s">
        <v>331</v>
      </c>
      <c r="M59" s="5" t="s">
        <v>332</v>
      </c>
      <c r="N59" s="5" t="s">
        <v>28</v>
      </c>
      <c r="O59" s="13" t="s">
        <v>553</v>
      </c>
      <c r="P59" s="5">
        <v>5417438363</v>
      </c>
      <c r="R59" s="5" t="s">
        <v>105</v>
      </c>
      <c r="T59" s="5" t="s">
        <v>28</v>
      </c>
      <c r="U59" s="5" t="s">
        <v>32</v>
      </c>
      <c r="V59" s="5" t="s">
        <v>333</v>
      </c>
    </row>
  </sheetData>
  <dataValidations count="5">
    <dataValidation type="list" allowBlank="1" showInputMessage="1" showErrorMessage="1" sqref="X2:X62" xr:uid="{4C5D2130-8490-4662-9EB8-17FBD865EA33}">
      <formula1>"A Rh+,A Rh-,B Rh+,B Rh-, AB Rh+,AB Rh-,0 Rh+,0 Rh-"</formula1>
    </dataValidation>
    <dataValidation type="list" allowBlank="1" showInputMessage="1" showErrorMessage="1" sqref="U2" xr:uid="{DC06E371-E047-4E79-B9CF-743251096B73}">
      <formula1>"Anne,Baba"</formula1>
    </dataValidation>
    <dataValidation type="list" allowBlank="1" showInputMessage="1" showErrorMessage="1" sqref="Y2:Y61" xr:uid="{ECB079AF-BC05-4E10-8AE0-6AAA5E8E757B}">
      <formula1>"Servis,Toplu Taşıma,Veli İle"</formula1>
    </dataValidation>
    <dataValidation type="list" allowBlank="1" showInputMessage="1" showErrorMessage="1" sqref="Z2:Z62" xr:uid="{B043C2E5-353D-454B-A583-6C6FA089FF6E}">
      <formula1>"Kız,Erkek"</formula1>
    </dataValidation>
    <dataValidation type="list" allowBlank="1" showInputMessage="1" showErrorMessage="1" sqref="AA2:AA62" xr:uid="{54BFC6F2-4969-4E94-86D3-24A38AD8ED97}">
      <formula1>"Anne Baba Birlikte,Anne ile,Baba ile,Büyük Ebeveyn ile,Başka Akraba Yanında"</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C45A3-CA7A-4D0F-828F-06215E15ABD0}">
  <dimension ref="A1:AM84"/>
  <sheetViews>
    <sheetView showGridLines="0" tabSelected="1" workbookViewId="0">
      <selection activeCell="AL12" sqref="AL12"/>
    </sheetView>
  </sheetViews>
  <sheetFormatPr defaultRowHeight="15" x14ac:dyDescent="0.25"/>
  <cols>
    <col min="1" max="1" width="11.140625" style="79" customWidth="1"/>
    <col min="2" max="2" width="38.7109375" style="79" customWidth="1"/>
    <col min="3" max="3" width="10.7109375" style="79" bestFit="1" customWidth="1"/>
    <col min="4" max="4" width="10.85546875" style="79" customWidth="1"/>
    <col min="5" max="5" width="13.28515625" style="79" bestFit="1" customWidth="1"/>
    <col min="6" max="6" width="18.5703125" style="79" bestFit="1" customWidth="1"/>
    <col min="7" max="8" width="7.5703125" style="79" bestFit="1" customWidth="1"/>
    <col min="9" max="9" width="20.5703125" style="79" bestFit="1" customWidth="1"/>
    <col min="10" max="10" width="8.28515625" style="79" bestFit="1" customWidth="1"/>
    <col min="11" max="11" width="9" style="79" bestFit="1" customWidth="1"/>
    <col min="12" max="12" width="22" style="79" customWidth="1"/>
    <col min="13" max="13" width="28.28515625" style="79" customWidth="1"/>
    <col min="14" max="14" width="48" style="79" bestFit="1" customWidth="1"/>
    <col min="15" max="15" width="48.140625" style="79" customWidth="1"/>
    <col min="16" max="16" width="23.42578125" style="79" customWidth="1"/>
    <col min="17" max="17" width="28.42578125" style="79" customWidth="1"/>
    <col min="18" max="18" width="44" style="79" customWidth="1"/>
    <col min="19" max="19" width="33.42578125" style="79" customWidth="1"/>
    <col min="20" max="20" width="14.28515625" style="79" bestFit="1" customWidth="1"/>
    <col min="21" max="21" width="21.85546875" style="79" customWidth="1"/>
    <col min="22" max="22" width="13.28515625" style="79" customWidth="1"/>
    <col min="23" max="23" width="15.42578125" style="79" customWidth="1"/>
    <col min="24" max="24" width="8.7109375" style="79" bestFit="1" customWidth="1"/>
    <col min="25" max="25" width="14.42578125" style="79" bestFit="1" customWidth="1"/>
    <col min="26" max="26" width="24" style="79" customWidth="1"/>
    <col min="27" max="28" width="20" style="79" bestFit="1" customWidth="1"/>
    <col min="29" max="29" width="16.85546875" style="79" bestFit="1" customWidth="1"/>
    <col min="30" max="30" width="19.85546875" style="79" bestFit="1" customWidth="1"/>
    <col min="31" max="31" width="18.5703125" style="79" bestFit="1" customWidth="1"/>
    <col min="32" max="32" width="17.7109375" style="79" customWidth="1"/>
    <col min="33" max="33" width="36" style="79" customWidth="1"/>
    <col min="34" max="34" width="26.140625" style="79" customWidth="1"/>
    <col min="35" max="35" width="57.140625" style="79" customWidth="1"/>
    <col min="36" max="36" width="28.85546875" style="79" customWidth="1"/>
    <col min="37" max="37" width="29.7109375" style="79" customWidth="1"/>
    <col min="38" max="38" width="26" style="79" customWidth="1"/>
    <col min="39" max="39" width="30.5703125" style="79" customWidth="1"/>
    <col min="40" max="16384" width="9.140625" style="79"/>
  </cols>
  <sheetData>
    <row r="1" spans="1:39" s="75" customFormat="1" ht="42.75" x14ac:dyDescent="0.2">
      <c r="A1" s="74" t="s">
        <v>557</v>
      </c>
      <c r="B1" s="74" t="s">
        <v>558</v>
      </c>
      <c r="C1" s="74" t="s">
        <v>559</v>
      </c>
      <c r="D1" s="74" t="s">
        <v>560</v>
      </c>
      <c r="E1" s="74" t="s">
        <v>561</v>
      </c>
      <c r="F1" s="74" t="s">
        <v>562</v>
      </c>
      <c r="G1" s="74" t="s">
        <v>563</v>
      </c>
      <c r="H1" s="74" t="s">
        <v>564</v>
      </c>
      <c r="I1" s="74" t="s">
        <v>565</v>
      </c>
      <c r="J1" s="74" t="s">
        <v>566</v>
      </c>
      <c r="K1" s="74" t="s">
        <v>567</v>
      </c>
      <c r="L1" s="74" t="s">
        <v>568</v>
      </c>
      <c r="M1" s="74" t="s">
        <v>569</v>
      </c>
      <c r="N1" s="74" t="s">
        <v>570</v>
      </c>
      <c r="O1" s="74" t="s">
        <v>571</v>
      </c>
      <c r="P1" s="74" t="s">
        <v>572</v>
      </c>
      <c r="Q1" s="74" t="s">
        <v>573</v>
      </c>
      <c r="R1" s="74" t="s">
        <v>574</v>
      </c>
      <c r="S1" s="74" t="s">
        <v>575</v>
      </c>
      <c r="T1" s="74" t="s">
        <v>576</v>
      </c>
      <c r="U1" s="74" t="s">
        <v>577</v>
      </c>
      <c r="V1" s="74" t="s">
        <v>578</v>
      </c>
      <c r="W1" s="74" t="s">
        <v>579</v>
      </c>
      <c r="X1" s="74" t="s">
        <v>580</v>
      </c>
      <c r="Y1" s="74" t="s">
        <v>581</v>
      </c>
      <c r="Z1" s="74" t="s">
        <v>582</v>
      </c>
      <c r="AA1" s="74" t="s">
        <v>583</v>
      </c>
      <c r="AB1" s="74" t="s">
        <v>584</v>
      </c>
      <c r="AC1" s="74" t="s">
        <v>585</v>
      </c>
      <c r="AD1" s="80" t="s">
        <v>586</v>
      </c>
      <c r="AE1" s="81" t="s">
        <v>999</v>
      </c>
      <c r="AF1" s="81" t="s">
        <v>1000</v>
      </c>
      <c r="AG1" s="81" t="s">
        <v>1001</v>
      </c>
      <c r="AH1" s="81" t="s">
        <v>1002</v>
      </c>
      <c r="AI1" s="81" t="s">
        <v>1003</v>
      </c>
      <c r="AJ1" s="81" t="s">
        <v>1004</v>
      </c>
      <c r="AK1" s="81" t="s">
        <v>1005</v>
      </c>
      <c r="AL1" s="81" t="s">
        <v>1006</v>
      </c>
      <c r="AM1" s="81" t="s">
        <v>1007</v>
      </c>
    </row>
    <row r="2" spans="1:39" s="78" customFormat="1" x14ac:dyDescent="0.25">
      <c r="A2" s="76" t="s">
        <v>587</v>
      </c>
      <c r="B2" s="76" t="s">
        <v>588</v>
      </c>
      <c r="C2" s="76">
        <v>34</v>
      </c>
      <c r="D2" s="76" t="s">
        <v>589</v>
      </c>
      <c r="E2" s="77">
        <v>45194</v>
      </c>
      <c r="F2" s="76" t="s">
        <v>590</v>
      </c>
      <c r="G2" s="76"/>
      <c r="H2" s="76"/>
      <c r="I2" s="76" t="s">
        <v>591</v>
      </c>
      <c r="J2" s="76" t="s">
        <v>592</v>
      </c>
      <c r="K2" s="76" t="s">
        <v>593</v>
      </c>
      <c r="L2" s="76" t="s">
        <v>594</v>
      </c>
      <c r="M2" s="76" t="s">
        <v>595</v>
      </c>
      <c r="N2" s="76" t="s">
        <v>596</v>
      </c>
      <c r="O2" s="76" t="s">
        <v>597</v>
      </c>
      <c r="P2" s="76" t="s">
        <v>598</v>
      </c>
      <c r="Q2" s="76" t="s">
        <v>599</v>
      </c>
      <c r="R2" s="76" t="s">
        <v>600</v>
      </c>
      <c r="S2" s="76" t="s">
        <v>599</v>
      </c>
      <c r="T2" s="77">
        <v>41911</v>
      </c>
      <c r="U2" s="76" t="s">
        <v>601</v>
      </c>
      <c r="V2" s="76" t="s">
        <v>602</v>
      </c>
      <c r="W2" s="76" t="s">
        <v>601</v>
      </c>
      <c r="X2" s="76" t="s">
        <v>380</v>
      </c>
      <c r="Y2" s="76" t="s">
        <v>603</v>
      </c>
      <c r="Z2" s="76" t="s">
        <v>604</v>
      </c>
      <c r="AA2" s="76"/>
      <c r="AB2" s="76"/>
      <c r="AC2" s="76" t="s">
        <v>605</v>
      </c>
      <c r="AD2" s="82" t="s">
        <v>606</v>
      </c>
      <c r="AE2" s="83"/>
      <c r="AF2" s="83"/>
      <c r="AG2" s="83"/>
      <c r="AH2" s="83"/>
      <c r="AI2" s="83"/>
      <c r="AJ2" s="83"/>
      <c r="AK2" s="83"/>
      <c r="AL2" s="83"/>
      <c r="AM2" s="83"/>
    </row>
    <row r="3" spans="1:39" s="78" customFormat="1" x14ac:dyDescent="0.25">
      <c r="A3" s="76" t="s">
        <v>587</v>
      </c>
      <c r="B3" s="76" t="s">
        <v>607</v>
      </c>
      <c r="C3" s="76">
        <v>58</v>
      </c>
      <c r="D3" s="76" t="s">
        <v>589</v>
      </c>
      <c r="E3" s="77">
        <v>45196</v>
      </c>
      <c r="F3" s="76" t="s">
        <v>590</v>
      </c>
      <c r="G3" s="76"/>
      <c r="H3" s="76"/>
      <c r="I3" s="76"/>
      <c r="J3" s="76" t="s">
        <v>592</v>
      </c>
      <c r="K3" s="76" t="s">
        <v>593</v>
      </c>
      <c r="L3" s="76" t="s">
        <v>608</v>
      </c>
      <c r="M3" s="76" t="s">
        <v>609</v>
      </c>
      <c r="N3" s="76" t="s">
        <v>609</v>
      </c>
      <c r="O3" s="76" t="s">
        <v>609</v>
      </c>
      <c r="P3" s="76" t="s">
        <v>610</v>
      </c>
      <c r="Q3" s="76" t="s">
        <v>611</v>
      </c>
      <c r="R3" s="76"/>
      <c r="S3" s="76"/>
      <c r="T3" s="77">
        <v>42111</v>
      </c>
      <c r="U3" s="76" t="s">
        <v>601</v>
      </c>
      <c r="V3" s="76" t="s">
        <v>602</v>
      </c>
      <c r="W3" s="76" t="s">
        <v>601</v>
      </c>
      <c r="X3" s="76" t="s">
        <v>380</v>
      </c>
      <c r="Y3" s="76" t="s">
        <v>612</v>
      </c>
      <c r="Z3" s="76" t="s">
        <v>604</v>
      </c>
      <c r="AA3" s="76"/>
      <c r="AB3" s="76"/>
      <c r="AC3" s="76" t="s">
        <v>613</v>
      </c>
      <c r="AD3" s="82" t="s">
        <v>614</v>
      </c>
      <c r="AE3" s="83"/>
      <c r="AF3" s="83"/>
      <c r="AG3" s="83"/>
      <c r="AH3" s="83"/>
      <c r="AI3" s="83"/>
      <c r="AJ3" s="83"/>
      <c r="AK3" s="83"/>
      <c r="AL3" s="83"/>
      <c r="AM3" s="83"/>
    </row>
    <row r="4" spans="1:39" s="78" customFormat="1" x14ac:dyDescent="0.25">
      <c r="A4" s="76" t="s">
        <v>587</v>
      </c>
      <c r="B4" s="76" t="s">
        <v>615</v>
      </c>
      <c r="C4" s="76">
        <v>147</v>
      </c>
      <c r="D4" s="76" t="s">
        <v>589</v>
      </c>
      <c r="E4" s="77">
        <v>45888</v>
      </c>
      <c r="F4" s="76" t="s">
        <v>590</v>
      </c>
      <c r="G4" s="76"/>
      <c r="H4" s="76"/>
      <c r="I4" s="76"/>
      <c r="J4" s="76" t="s">
        <v>592</v>
      </c>
      <c r="K4" s="76" t="s">
        <v>593</v>
      </c>
      <c r="L4" s="76" t="s">
        <v>616</v>
      </c>
      <c r="M4" s="76" t="s">
        <v>617</v>
      </c>
      <c r="N4" s="76"/>
      <c r="O4" s="76" t="s">
        <v>38</v>
      </c>
      <c r="P4" s="76" t="s">
        <v>618</v>
      </c>
      <c r="Q4" s="76" t="s">
        <v>611</v>
      </c>
      <c r="R4" s="76"/>
      <c r="S4" s="76" t="s">
        <v>619</v>
      </c>
      <c r="T4" s="77">
        <v>42321</v>
      </c>
      <c r="U4" s="76" t="s">
        <v>620</v>
      </c>
      <c r="V4" s="76" t="s">
        <v>602</v>
      </c>
      <c r="W4" s="76" t="s">
        <v>601</v>
      </c>
      <c r="X4" s="76" t="s">
        <v>380</v>
      </c>
      <c r="Y4" s="76" t="s">
        <v>621</v>
      </c>
      <c r="Z4" s="76" t="s">
        <v>622</v>
      </c>
      <c r="AA4" s="76"/>
      <c r="AB4" s="76"/>
      <c r="AC4" s="76" t="s">
        <v>623</v>
      </c>
      <c r="AD4" s="82" t="s">
        <v>614</v>
      </c>
      <c r="AE4" s="83"/>
      <c r="AF4" s="83"/>
      <c r="AG4" s="83"/>
      <c r="AH4" s="83"/>
      <c r="AI4" s="83"/>
      <c r="AJ4" s="83"/>
      <c r="AK4" s="83"/>
      <c r="AL4" s="83"/>
      <c r="AM4" s="83"/>
    </row>
    <row r="5" spans="1:39" s="78" customFormat="1" x14ac:dyDescent="0.25">
      <c r="A5" s="76" t="s">
        <v>587</v>
      </c>
      <c r="B5" s="76" t="s">
        <v>624</v>
      </c>
      <c r="C5" s="76">
        <v>150</v>
      </c>
      <c r="D5" s="76" t="s">
        <v>589</v>
      </c>
      <c r="E5" s="77">
        <v>45891</v>
      </c>
      <c r="F5" s="76" t="s">
        <v>590</v>
      </c>
      <c r="G5" s="76"/>
      <c r="H5" s="76"/>
      <c r="I5" s="76"/>
      <c r="J5" s="76" t="s">
        <v>592</v>
      </c>
      <c r="K5" s="76" t="s">
        <v>593</v>
      </c>
      <c r="L5" s="76" t="s">
        <v>625</v>
      </c>
      <c r="M5" s="76" t="s">
        <v>626</v>
      </c>
      <c r="N5" s="76" t="s">
        <v>627</v>
      </c>
      <c r="O5" s="76" t="s">
        <v>628</v>
      </c>
      <c r="P5" s="76" t="s">
        <v>629</v>
      </c>
      <c r="Q5" s="76" t="s">
        <v>626</v>
      </c>
      <c r="R5" s="76"/>
      <c r="S5" s="76" t="s">
        <v>628</v>
      </c>
      <c r="T5" s="77">
        <v>42990</v>
      </c>
      <c r="U5" s="76" t="s">
        <v>602</v>
      </c>
      <c r="V5" s="76" t="s">
        <v>602</v>
      </c>
      <c r="W5" s="76" t="s">
        <v>620</v>
      </c>
      <c r="X5" s="76" t="s">
        <v>380</v>
      </c>
      <c r="Y5" s="76" t="s">
        <v>630</v>
      </c>
      <c r="Z5" s="76" t="s">
        <v>631</v>
      </c>
      <c r="AA5" s="76"/>
      <c r="AB5" s="76"/>
      <c r="AC5" s="76" t="s">
        <v>632</v>
      </c>
      <c r="AD5" s="82" t="s">
        <v>606</v>
      </c>
      <c r="AE5" s="83"/>
      <c r="AF5" s="83"/>
      <c r="AG5" s="83"/>
      <c r="AH5" s="83"/>
      <c r="AI5" s="83"/>
      <c r="AJ5" s="83"/>
      <c r="AK5" s="83"/>
      <c r="AL5" s="83"/>
      <c r="AM5" s="83"/>
    </row>
    <row r="6" spans="1:39" s="78" customFormat="1" x14ac:dyDescent="0.25">
      <c r="A6" s="76" t="s">
        <v>587</v>
      </c>
      <c r="B6" s="76" t="s">
        <v>633</v>
      </c>
      <c r="C6" s="76">
        <v>75</v>
      </c>
      <c r="D6" s="76" t="s">
        <v>589</v>
      </c>
      <c r="E6" s="77">
        <v>45167</v>
      </c>
      <c r="F6" s="76" t="s">
        <v>590</v>
      </c>
      <c r="G6" s="76"/>
      <c r="H6" s="76"/>
      <c r="I6" s="76" t="s">
        <v>591</v>
      </c>
      <c r="J6" s="76" t="s">
        <v>592</v>
      </c>
      <c r="K6" s="76" t="s">
        <v>593</v>
      </c>
      <c r="L6" s="76" t="s">
        <v>634</v>
      </c>
      <c r="M6" s="76"/>
      <c r="N6" s="76"/>
      <c r="O6" s="76"/>
      <c r="P6" s="76" t="s">
        <v>635</v>
      </c>
      <c r="Q6" s="76"/>
      <c r="R6" s="76"/>
      <c r="S6" s="76"/>
      <c r="T6" s="77">
        <v>41531</v>
      </c>
      <c r="U6" s="76"/>
      <c r="V6" s="76" t="s">
        <v>602</v>
      </c>
      <c r="W6" s="76" t="s">
        <v>601</v>
      </c>
      <c r="X6" s="76" t="s">
        <v>380</v>
      </c>
      <c r="Y6" s="76" t="s">
        <v>636</v>
      </c>
      <c r="Z6" s="76" t="s">
        <v>637</v>
      </c>
      <c r="AA6" s="76"/>
      <c r="AB6" s="76"/>
      <c r="AC6" s="76" t="s">
        <v>605</v>
      </c>
      <c r="AD6" s="82" t="s">
        <v>606</v>
      </c>
      <c r="AE6" s="83"/>
      <c r="AF6" s="83"/>
      <c r="AG6" s="83"/>
      <c r="AH6" s="83"/>
      <c r="AI6" s="83"/>
      <c r="AJ6" s="83"/>
      <c r="AK6" s="83"/>
      <c r="AL6" s="83"/>
      <c r="AM6" s="83"/>
    </row>
    <row r="7" spans="1:39" s="78" customFormat="1" x14ac:dyDescent="0.25">
      <c r="A7" s="76" t="s">
        <v>587</v>
      </c>
      <c r="B7" s="76" t="s">
        <v>638</v>
      </c>
      <c r="C7" s="76">
        <v>39</v>
      </c>
      <c r="D7" s="76" t="s">
        <v>589</v>
      </c>
      <c r="E7" s="77">
        <v>45194</v>
      </c>
      <c r="F7" s="76" t="s">
        <v>590</v>
      </c>
      <c r="G7" s="76"/>
      <c r="H7" s="76"/>
      <c r="I7" s="76"/>
      <c r="J7" s="76" t="s">
        <v>592</v>
      </c>
      <c r="K7" s="76" t="s">
        <v>593</v>
      </c>
      <c r="L7" s="76" t="s">
        <v>639</v>
      </c>
      <c r="M7" s="76"/>
      <c r="N7" s="76"/>
      <c r="O7" s="76" t="s">
        <v>640</v>
      </c>
      <c r="P7" s="76" t="s">
        <v>641</v>
      </c>
      <c r="Q7" s="76"/>
      <c r="R7" s="76"/>
      <c r="S7" s="76"/>
      <c r="T7" s="77">
        <v>42337</v>
      </c>
      <c r="U7" s="76" t="s">
        <v>602</v>
      </c>
      <c r="V7" s="76" t="s">
        <v>602</v>
      </c>
      <c r="W7" s="76" t="s">
        <v>601</v>
      </c>
      <c r="X7" s="76" t="s">
        <v>379</v>
      </c>
      <c r="Y7" s="76" t="s">
        <v>642</v>
      </c>
      <c r="Z7" s="76"/>
      <c r="AA7" s="76"/>
      <c r="AB7" s="76"/>
      <c r="AC7" s="76" t="s">
        <v>623</v>
      </c>
      <c r="AD7" s="82" t="s">
        <v>614</v>
      </c>
      <c r="AE7" s="83"/>
      <c r="AF7" s="83"/>
      <c r="AG7" s="83"/>
      <c r="AH7" s="83"/>
      <c r="AI7" s="83"/>
      <c r="AJ7" s="83"/>
      <c r="AK7" s="83"/>
      <c r="AL7" s="83"/>
      <c r="AM7" s="83"/>
    </row>
    <row r="8" spans="1:39" s="78" customFormat="1" x14ac:dyDescent="0.25">
      <c r="A8" s="76" t="s">
        <v>587</v>
      </c>
      <c r="B8" s="76" t="s">
        <v>643</v>
      </c>
      <c r="C8" s="76">
        <v>14</v>
      </c>
      <c r="D8" s="76" t="s">
        <v>589</v>
      </c>
      <c r="E8" s="77">
        <v>45190</v>
      </c>
      <c r="F8" s="76" t="s">
        <v>590</v>
      </c>
      <c r="G8" s="76"/>
      <c r="H8" s="76"/>
      <c r="I8" s="76" t="s">
        <v>591</v>
      </c>
      <c r="J8" s="76" t="s">
        <v>592</v>
      </c>
      <c r="K8" s="76" t="s">
        <v>593</v>
      </c>
      <c r="L8" s="76" t="s">
        <v>644</v>
      </c>
      <c r="M8" s="76" t="s">
        <v>645</v>
      </c>
      <c r="N8" s="76" t="s">
        <v>61</v>
      </c>
      <c r="O8" s="76" t="s">
        <v>646</v>
      </c>
      <c r="P8" s="76" t="s">
        <v>647</v>
      </c>
      <c r="Q8" s="76" t="s">
        <v>63</v>
      </c>
      <c r="R8" s="76" t="s">
        <v>648</v>
      </c>
      <c r="S8" s="76" t="s">
        <v>63</v>
      </c>
      <c r="T8" s="77">
        <v>41787</v>
      </c>
      <c r="U8" s="76" t="s">
        <v>649</v>
      </c>
      <c r="V8" s="76" t="s">
        <v>602</v>
      </c>
      <c r="W8" s="76" t="s">
        <v>601</v>
      </c>
      <c r="X8" s="76" t="s">
        <v>380</v>
      </c>
      <c r="Y8" s="76" t="s">
        <v>650</v>
      </c>
      <c r="Z8" s="76" t="s">
        <v>651</v>
      </c>
      <c r="AA8" s="76" t="s">
        <v>652</v>
      </c>
      <c r="AB8" s="76"/>
      <c r="AC8" s="76" t="s">
        <v>605</v>
      </c>
      <c r="AD8" s="82" t="s">
        <v>606</v>
      </c>
      <c r="AE8" s="83"/>
      <c r="AF8" s="83"/>
      <c r="AG8" s="83"/>
      <c r="AH8" s="83"/>
      <c r="AI8" s="83"/>
      <c r="AJ8" s="83"/>
      <c r="AK8" s="83"/>
      <c r="AL8" s="83"/>
      <c r="AM8" s="83"/>
    </row>
    <row r="9" spans="1:39" s="78" customFormat="1" x14ac:dyDescent="0.25">
      <c r="A9" s="76" t="s">
        <v>587</v>
      </c>
      <c r="B9" s="76" t="s">
        <v>653</v>
      </c>
      <c r="C9" s="76">
        <v>59</v>
      </c>
      <c r="D9" s="76" t="s">
        <v>589</v>
      </c>
      <c r="E9" s="77">
        <v>45196</v>
      </c>
      <c r="F9" s="76" t="s">
        <v>590</v>
      </c>
      <c r="G9" s="76"/>
      <c r="H9" s="76"/>
      <c r="I9" s="76" t="s">
        <v>654</v>
      </c>
      <c r="J9" s="76" t="s">
        <v>592</v>
      </c>
      <c r="K9" s="76" t="s">
        <v>593</v>
      </c>
      <c r="L9" s="76" t="s">
        <v>655</v>
      </c>
      <c r="M9" s="76" t="s">
        <v>656</v>
      </c>
      <c r="N9" s="76" t="s">
        <v>657</v>
      </c>
      <c r="O9" s="76" t="s">
        <v>656</v>
      </c>
      <c r="P9" s="76" t="s">
        <v>658</v>
      </c>
      <c r="Q9" s="76" t="s">
        <v>656</v>
      </c>
      <c r="R9" s="76" t="s">
        <v>659</v>
      </c>
      <c r="S9" s="76" t="s">
        <v>660</v>
      </c>
      <c r="T9" s="77">
        <v>42703</v>
      </c>
      <c r="U9" s="76" t="s">
        <v>620</v>
      </c>
      <c r="V9" s="76" t="s">
        <v>602</v>
      </c>
      <c r="W9" s="76" t="s">
        <v>601</v>
      </c>
      <c r="X9" s="76" t="s">
        <v>380</v>
      </c>
      <c r="Y9" s="76" t="s">
        <v>661</v>
      </c>
      <c r="Z9" s="76" t="s">
        <v>662</v>
      </c>
      <c r="AA9" s="76"/>
      <c r="AB9" s="76"/>
      <c r="AC9" s="76" t="s">
        <v>623</v>
      </c>
      <c r="AD9" s="82" t="s">
        <v>663</v>
      </c>
      <c r="AE9" s="83"/>
      <c r="AF9" s="83"/>
      <c r="AG9" s="83"/>
      <c r="AH9" s="83"/>
      <c r="AI9" s="83"/>
      <c r="AJ9" s="83"/>
      <c r="AK9" s="83"/>
      <c r="AL9" s="83"/>
      <c r="AM9" s="83"/>
    </row>
    <row r="10" spans="1:39" s="78" customFormat="1" x14ac:dyDescent="0.25">
      <c r="A10" s="76" t="s">
        <v>587</v>
      </c>
      <c r="B10" s="76" t="s">
        <v>664</v>
      </c>
      <c r="C10" s="76">
        <v>12</v>
      </c>
      <c r="D10" s="76" t="s">
        <v>589</v>
      </c>
      <c r="E10" s="77">
        <v>45190</v>
      </c>
      <c r="F10" s="76" t="s">
        <v>590</v>
      </c>
      <c r="G10" s="76"/>
      <c r="H10" s="76"/>
      <c r="I10" s="76"/>
      <c r="J10" s="76" t="s">
        <v>665</v>
      </c>
      <c r="K10" s="76" t="s">
        <v>593</v>
      </c>
      <c r="L10" s="76" t="s">
        <v>666</v>
      </c>
      <c r="M10" s="76" t="s">
        <v>63</v>
      </c>
      <c r="N10" s="76" t="s">
        <v>667</v>
      </c>
      <c r="O10" s="76" t="s">
        <v>668</v>
      </c>
      <c r="P10" s="76" t="s">
        <v>669</v>
      </c>
      <c r="Q10" s="76" t="s">
        <v>63</v>
      </c>
      <c r="R10" s="76" t="s">
        <v>670</v>
      </c>
      <c r="S10" s="76" t="s">
        <v>63</v>
      </c>
      <c r="T10" s="77">
        <v>42068</v>
      </c>
      <c r="U10" s="76" t="s">
        <v>620</v>
      </c>
      <c r="V10" s="76" t="s">
        <v>602</v>
      </c>
      <c r="W10" s="76" t="s">
        <v>601</v>
      </c>
      <c r="X10" s="76" t="s">
        <v>380</v>
      </c>
      <c r="Y10" s="76" t="s">
        <v>671</v>
      </c>
      <c r="Z10" s="76" t="s">
        <v>672</v>
      </c>
      <c r="AA10" s="76"/>
      <c r="AB10" s="76"/>
      <c r="AC10" s="76" t="s">
        <v>613</v>
      </c>
      <c r="AD10" s="82" t="s">
        <v>606</v>
      </c>
      <c r="AE10" s="83"/>
      <c r="AF10" s="83"/>
      <c r="AG10" s="83"/>
      <c r="AH10" s="83"/>
      <c r="AI10" s="83"/>
      <c r="AJ10" s="83"/>
      <c r="AK10" s="83"/>
      <c r="AL10" s="83"/>
      <c r="AM10" s="83"/>
    </row>
    <row r="11" spans="1:39" s="78" customFormat="1" x14ac:dyDescent="0.25">
      <c r="A11" s="76" t="s">
        <v>587</v>
      </c>
      <c r="B11" s="76" t="s">
        <v>673</v>
      </c>
      <c r="C11" s="76">
        <v>40</v>
      </c>
      <c r="D11" s="76" t="s">
        <v>589</v>
      </c>
      <c r="E11" s="77">
        <v>45194</v>
      </c>
      <c r="F11" s="76" t="s">
        <v>590</v>
      </c>
      <c r="G11" s="76"/>
      <c r="H11" s="76"/>
      <c r="I11" s="76" t="s">
        <v>591</v>
      </c>
      <c r="J11" s="76" t="s">
        <v>665</v>
      </c>
      <c r="K11" s="76" t="s">
        <v>593</v>
      </c>
      <c r="L11" s="76" t="s">
        <v>674</v>
      </c>
      <c r="M11" s="76" t="s">
        <v>63</v>
      </c>
      <c r="N11" s="76"/>
      <c r="O11" s="76"/>
      <c r="P11" s="76" t="s">
        <v>675</v>
      </c>
      <c r="Q11" s="76" t="s">
        <v>611</v>
      </c>
      <c r="R11" s="76"/>
      <c r="S11" s="76"/>
      <c r="T11" s="77">
        <v>41776</v>
      </c>
      <c r="U11" s="76" t="s">
        <v>602</v>
      </c>
      <c r="V11" s="76" t="s">
        <v>602</v>
      </c>
      <c r="W11" s="76" t="s">
        <v>601</v>
      </c>
      <c r="X11" s="76" t="s">
        <v>380</v>
      </c>
      <c r="Y11" s="76" t="s">
        <v>636</v>
      </c>
      <c r="Z11" s="76" t="s">
        <v>637</v>
      </c>
      <c r="AA11" s="76"/>
      <c r="AB11" s="76"/>
      <c r="AC11" s="76" t="s">
        <v>605</v>
      </c>
      <c r="AD11" s="82" t="s">
        <v>606</v>
      </c>
      <c r="AE11" s="83"/>
      <c r="AF11" s="83"/>
      <c r="AG11" s="83"/>
      <c r="AH11" s="83"/>
      <c r="AI11" s="83"/>
      <c r="AJ11" s="83"/>
      <c r="AK11" s="83"/>
      <c r="AL11" s="83"/>
      <c r="AM11" s="83"/>
    </row>
    <row r="12" spans="1:39" s="78" customFormat="1" x14ac:dyDescent="0.25">
      <c r="A12" s="76" t="s">
        <v>587</v>
      </c>
      <c r="B12" s="76" t="s">
        <v>676</v>
      </c>
      <c r="C12" s="76">
        <v>116</v>
      </c>
      <c r="D12" s="76" t="s">
        <v>589</v>
      </c>
      <c r="E12" s="77">
        <v>45195</v>
      </c>
      <c r="F12" s="76" t="s">
        <v>590</v>
      </c>
      <c r="G12" s="76"/>
      <c r="H12" s="76"/>
      <c r="I12" s="76" t="s">
        <v>591</v>
      </c>
      <c r="J12" s="76" t="s">
        <v>665</v>
      </c>
      <c r="K12" s="76" t="s">
        <v>593</v>
      </c>
      <c r="L12" s="76" t="s">
        <v>634</v>
      </c>
      <c r="M12" s="76" t="s">
        <v>677</v>
      </c>
      <c r="N12" s="76" t="s">
        <v>678</v>
      </c>
      <c r="O12" s="76" t="s">
        <v>677</v>
      </c>
      <c r="P12" s="76" t="s">
        <v>679</v>
      </c>
      <c r="Q12" s="76" t="s">
        <v>611</v>
      </c>
      <c r="R12" s="76"/>
      <c r="S12" s="76"/>
      <c r="T12" s="77">
        <v>41856</v>
      </c>
      <c r="U12" s="76" t="s">
        <v>602</v>
      </c>
      <c r="V12" s="76" t="s">
        <v>602</v>
      </c>
      <c r="W12" s="76" t="s">
        <v>601</v>
      </c>
      <c r="X12" s="76" t="s">
        <v>380</v>
      </c>
      <c r="Y12" s="76" t="s">
        <v>680</v>
      </c>
      <c r="Z12" s="76" t="s">
        <v>681</v>
      </c>
      <c r="AA12" s="76" t="s">
        <v>682</v>
      </c>
      <c r="AB12" s="76"/>
      <c r="AC12" s="76" t="s">
        <v>605</v>
      </c>
      <c r="AD12" s="82" t="s">
        <v>606</v>
      </c>
      <c r="AE12" s="83"/>
      <c r="AF12" s="83"/>
      <c r="AG12" s="83"/>
      <c r="AH12" s="83"/>
      <c r="AI12" s="83"/>
      <c r="AJ12" s="83"/>
      <c r="AK12" s="83"/>
      <c r="AL12" s="83"/>
      <c r="AM12" s="83"/>
    </row>
    <row r="13" spans="1:39" s="78" customFormat="1" x14ac:dyDescent="0.25">
      <c r="A13" s="76" t="s">
        <v>587</v>
      </c>
      <c r="B13" s="76" t="s">
        <v>683</v>
      </c>
      <c r="C13" s="76">
        <v>95</v>
      </c>
      <c r="D13" s="76" t="s">
        <v>589</v>
      </c>
      <c r="E13" s="77">
        <v>45520</v>
      </c>
      <c r="F13" s="76" t="s">
        <v>590</v>
      </c>
      <c r="G13" s="76"/>
      <c r="H13" s="76"/>
      <c r="I13" s="76" t="s">
        <v>684</v>
      </c>
      <c r="J13" s="76" t="s">
        <v>592</v>
      </c>
      <c r="K13" s="76" t="s">
        <v>593</v>
      </c>
      <c r="L13" s="76" t="s">
        <v>608</v>
      </c>
      <c r="M13" s="76" t="s">
        <v>685</v>
      </c>
      <c r="N13" s="76" t="s">
        <v>686</v>
      </c>
      <c r="O13" s="76" t="s">
        <v>92</v>
      </c>
      <c r="P13" s="76" t="s">
        <v>669</v>
      </c>
      <c r="Q13" s="76" t="s">
        <v>63</v>
      </c>
      <c r="R13" s="76" t="s">
        <v>648</v>
      </c>
      <c r="S13" s="76" t="s">
        <v>237</v>
      </c>
      <c r="T13" s="77">
        <v>42184</v>
      </c>
      <c r="U13" s="76"/>
      <c r="V13" s="76" t="s">
        <v>602</v>
      </c>
      <c r="W13" s="76" t="s">
        <v>601</v>
      </c>
      <c r="X13" s="76" t="s">
        <v>380</v>
      </c>
      <c r="Y13" s="76" t="s">
        <v>642</v>
      </c>
      <c r="Z13" s="76" t="s">
        <v>687</v>
      </c>
      <c r="AA13" s="76"/>
      <c r="AB13" s="76"/>
      <c r="AC13" s="76" t="s">
        <v>623</v>
      </c>
      <c r="AD13" s="82" t="s">
        <v>606</v>
      </c>
      <c r="AE13" s="83"/>
      <c r="AF13" s="83"/>
      <c r="AG13" s="83"/>
      <c r="AH13" s="83"/>
      <c r="AI13" s="83"/>
      <c r="AJ13" s="83"/>
      <c r="AK13" s="83"/>
      <c r="AL13" s="83"/>
      <c r="AM13" s="83"/>
    </row>
    <row r="14" spans="1:39" s="78" customFormat="1" x14ac:dyDescent="0.25">
      <c r="A14" s="76" t="s">
        <v>587</v>
      </c>
      <c r="B14" s="76" t="s">
        <v>688</v>
      </c>
      <c r="C14" s="76">
        <v>30</v>
      </c>
      <c r="D14" s="76" t="s">
        <v>589</v>
      </c>
      <c r="E14" s="77">
        <v>45191</v>
      </c>
      <c r="F14" s="76" t="s">
        <v>590</v>
      </c>
      <c r="G14" s="76"/>
      <c r="H14" s="76"/>
      <c r="I14" s="76"/>
      <c r="J14" s="76" t="s">
        <v>665</v>
      </c>
      <c r="K14" s="76" t="s">
        <v>593</v>
      </c>
      <c r="L14" s="76" t="s">
        <v>689</v>
      </c>
      <c r="M14" s="76" t="s">
        <v>677</v>
      </c>
      <c r="N14" s="76" t="s">
        <v>690</v>
      </c>
      <c r="O14" s="76" t="s">
        <v>691</v>
      </c>
      <c r="P14" s="76" t="s">
        <v>692</v>
      </c>
      <c r="Q14" s="76" t="s">
        <v>611</v>
      </c>
      <c r="R14" s="76"/>
      <c r="S14" s="76"/>
      <c r="T14" s="77">
        <v>42026</v>
      </c>
      <c r="U14" s="76" t="s">
        <v>602</v>
      </c>
      <c r="V14" s="76" t="s">
        <v>602</v>
      </c>
      <c r="W14" s="76" t="s">
        <v>601</v>
      </c>
      <c r="X14" s="76" t="s">
        <v>380</v>
      </c>
      <c r="Y14" s="76" t="s">
        <v>671</v>
      </c>
      <c r="Z14" s="76" t="s">
        <v>672</v>
      </c>
      <c r="AA14" s="76"/>
      <c r="AB14" s="76"/>
      <c r="AC14" s="76" t="s">
        <v>613</v>
      </c>
      <c r="AD14" s="82" t="s">
        <v>614</v>
      </c>
      <c r="AE14" s="83"/>
      <c r="AF14" s="83"/>
      <c r="AG14" s="83"/>
      <c r="AH14" s="83"/>
      <c r="AI14" s="83"/>
      <c r="AJ14" s="83"/>
      <c r="AK14" s="83"/>
      <c r="AL14" s="83"/>
      <c r="AM14" s="83"/>
    </row>
    <row r="15" spans="1:39" s="78" customFormat="1" x14ac:dyDescent="0.25">
      <c r="A15" s="76" t="s">
        <v>587</v>
      </c>
      <c r="B15" s="76" t="s">
        <v>693</v>
      </c>
      <c r="C15" s="76">
        <v>33</v>
      </c>
      <c r="D15" s="76" t="s">
        <v>589</v>
      </c>
      <c r="E15" s="77">
        <v>45194</v>
      </c>
      <c r="F15" s="76" t="s">
        <v>590</v>
      </c>
      <c r="G15" s="76"/>
      <c r="H15" s="76"/>
      <c r="I15" s="76"/>
      <c r="J15" s="76" t="s">
        <v>592</v>
      </c>
      <c r="K15" s="76" t="s">
        <v>593</v>
      </c>
      <c r="L15" s="76" t="s">
        <v>694</v>
      </c>
      <c r="M15" s="76" t="s">
        <v>677</v>
      </c>
      <c r="N15" s="76" t="s">
        <v>695</v>
      </c>
      <c r="O15" s="76"/>
      <c r="P15" s="76" t="s">
        <v>647</v>
      </c>
      <c r="Q15" s="76" t="s">
        <v>611</v>
      </c>
      <c r="R15" s="76"/>
      <c r="S15" s="76"/>
      <c r="T15" s="77">
        <v>42265</v>
      </c>
      <c r="U15" s="76" t="s">
        <v>620</v>
      </c>
      <c r="V15" s="76" t="s">
        <v>602</v>
      </c>
      <c r="W15" s="76" t="s">
        <v>601</v>
      </c>
      <c r="X15" s="76" t="s">
        <v>380</v>
      </c>
      <c r="Y15" s="76" t="s">
        <v>696</v>
      </c>
      <c r="Z15" s="76"/>
      <c r="AA15" s="76"/>
      <c r="AB15" s="76"/>
      <c r="AC15" s="76" t="s">
        <v>613</v>
      </c>
      <c r="AD15" s="82" t="s">
        <v>663</v>
      </c>
      <c r="AE15" s="83"/>
      <c r="AF15" s="83"/>
      <c r="AG15" s="83"/>
      <c r="AH15" s="83"/>
      <c r="AI15" s="83"/>
      <c r="AJ15" s="83"/>
      <c r="AK15" s="83"/>
      <c r="AL15" s="83"/>
      <c r="AM15" s="83"/>
    </row>
    <row r="16" spans="1:39" s="78" customFormat="1" x14ac:dyDescent="0.25">
      <c r="A16" s="76" t="s">
        <v>587</v>
      </c>
      <c r="B16" s="76" t="s">
        <v>697</v>
      </c>
      <c r="C16" s="76">
        <v>49</v>
      </c>
      <c r="D16" s="76" t="s">
        <v>589</v>
      </c>
      <c r="E16" s="77">
        <v>45195</v>
      </c>
      <c r="F16" s="76" t="s">
        <v>590</v>
      </c>
      <c r="G16" s="76"/>
      <c r="H16" s="76"/>
      <c r="I16" s="76" t="s">
        <v>591</v>
      </c>
      <c r="J16" s="76" t="s">
        <v>592</v>
      </c>
      <c r="K16" s="76" t="s">
        <v>593</v>
      </c>
      <c r="L16" s="76" t="s">
        <v>674</v>
      </c>
      <c r="M16" s="76" t="s">
        <v>595</v>
      </c>
      <c r="N16" s="76" t="s">
        <v>698</v>
      </c>
      <c r="O16" s="76" t="s">
        <v>597</v>
      </c>
      <c r="P16" s="76" t="s">
        <v>699</v>
      </c>
      <c r="Q16" s="76" t="s">
        <v>599</v>
      </c>
      <c r="R16" s="76" t="s">
        <v>700</v>
      </c>
      <c r="S16" s="76" t="s">
        <v>701</v>
      </c>
      <c r="T16" s="77">
        <v>41751</v>
      </c>
      <c r="U16" s="76" t="s">
        <v>649</v>
      </c>
      <c r="V16" s="76" t="s">
        <v>602</v>
      </c>
      <c r="W16" s="76" t="s">
        <v>601</v>
      </c>
      <c r="X16" s="76" t="s">
        <v>380</v>
      </c>
      <c r="Y16" s="76" t="s">
        <v>603</v>
      </c>
      <c r="Z16" s="76" t="s">
        <v>604</v>
      </c>
      <c r="AA16" s="76" t="s">
        <v>652</v>
      </c>
      <c r="AB16" s="76"/>
      <c r="AC16" s="76" t="s">
        <v>605</v>
      </c>
      <c r="AD16" s="82" t="s">
        <v>606</v>
      </c>
      <c r="AE16" s="83"/>
      <c r="AF16" s="83"/>
      <c r="AG16" s="83"/>
      <c r="AH16" s="83"/>
      <c r="AI16" s="83"/>
      <c r="AJ16" s="83"/>
      <c r="AK16" s="83"/>
      <c r="AL16" s="83"/>
      <c r="AM16" s="83"/>
    </row>
    <row r="17" spans="1:39" s="78" customFormat="1" x14ac:dyDescent="0.25">
      <c r="A17" s="76" t="s">
        <v>587</v>
      </c>
      <c r="B17" s="76" t="s">
        <v>702</v>
      </c>
      <c r="C17" s="76">
        <v>83</v>
      </c>
      <c r="D17" s="76" t="s">
        <v>589</v>
      </c>
      <c r="E17" s="77">
        <v>45516</v>
      </c>
      <c r="F17" s="76" t="s">
        <v>590</v>
      </c>
      <c r="G17" s="76"/>
      <c r="H17" s="76"/>
      <c r="I17" s="76" t="s">
        <v>654</v>
      </c>
      <c r="J17" s="76" t="s">
        <v>592</v>
      </c>
      <c r="K17" s="76" t="s">
        <v>593</v>
      </c>
      <c r="L17" s="76" t="s">
        <v>703</v>
      </c>
      <c r="M17" s="76" t="s">
        <v>617</v>
      </c>
      <c r="N17" s="76"/>
      <c r="O17" s="76"/>
      <c r="P17" s="76" t="s">
        <v>598</v>
      </c>
      <c r="Q17" s="76" t="s">
        <v>656</v>
      </c>
      <c r="R17" s="76"/>
      <c r="S17" s="76"/>
      <c r="T17" s="77">
        <v>42173</v>
      </c>
      <c r="U17" s="76"/>
      <c r="V17" s="76" t="s">
        <v>602</v>
      </c>
      <c r="W17" s="76" t="s">
        <v>601</v>
      </c>
      <c r="X17" s="76" t="s">
        <v>380</v>
      </c>
      <c r="Y17" s="76" t="s">
        <v>704</v>
      </c>
      <c r="Z17" s="76" t="s">
        <v>604</v>
      </c>
      <c r="AA17" s="76"/>
      <c r="AB17" s="76"/>
      <c r="AC17" s="76" t="s">
        <v>613</v>
      </c>
      <c r="AD17" s="82" t="s">
        <v>606</v>
      </c>
      <c r="AE17" s="83"/>
      <c r="AF17" s="83"/>
      <c r="AG17" s="83"/>
      <c r="AH17" s="83"/>
      <c r="AI17" s="83"/>
      <c r="AJ17" s="83"/>
      <c r="AK17" s="83"/>
      <c r="AL17" s="83"/>
      <c r="AM17" s="83"/>
    </row>
    <row r="18" spans="1:39" s="78" customFormat="1" x14ac:dyDescent="0.25">
      <c r="A18" s="76" t="s">
        <v>587</v>
      </c>
      <c r="B18" s="76" t="s">
        <v>705</v>
      </c>
      <c r="C18" s="76">
        <v>51</v>
      </c>
      <c r="D18" s="76" t="s">
        <v>589</v>
      </c>
      <c r="E18" s="77">
        <v>45195</v>
      </c>
      <c r="F18" s="76" t="s">
        <v>590</v>
      </c>
      <c r="G18" s="76"/>
      <c r="H18" s="76"/>
      <c r="I18" s="76" t="s">
        <v>591</v>
      </c>
      <c r="J18" s="76" t="s">
        <v>592</v>
      </c>
      <c r="K18" s="76" t="s">
        <v>593</v>
      </c>
      <c r="L18" s="76" t="s">
        <v>706</v>
      </c>
      <c r="M18" s="76" t="s">
        <v>677</v>
      </c>
      <c r="N18" s="76" t="s">
        <v>707</v>
      </c>
      <c r="O18" s="76" t="s">
        <v>708</v>
      </c>
      <c r="P18" s="76" t="s">
        <v>709</v>
      </c>
      <c r="Q18" s="76" t="s">
        <v>611</v>
      </c>
      <c r="R18" s="76"/>
      <c r="S18" s="76"/>
      <c r="T18" s="77">
        <v>41923</v>
      </c>
      <c r="U18" s="76" t="s">
        <v>620</v>
      </c>
      <c r="V18" s="76" t="s">
        <v>602</v>
      </c>
      <c r="W18" s="76" t="s">
        <v>601</v>
      </c>
      <c r="X18" s="76" t="s">
        <v>380</v>
      </c>
      <c r="Y18" s="76" t="s">
        <v>650</v>
      </c>
      <c r="Z18" s="76" t="s">
        <v>672</v>
      </c>
      <c r="AA18" s="76" t="s">
        <v>652</v>
      </c>
      <c r="AB18" s="76"/>
      <c r="AC18" s="76" t="s">
        <v>605</v>
      </c>
      <c r="AD18" s="82" t="s">
        <v>606</v>
      </c>
      <c r="AE18" s="83"/>
      <c r="AF18" s="83"/>
      <c r="AG18" s="83"/>
      <c r="AH18" s="83"/>
      <c r="AI18" s="83"/>
      <c r="AJ18" s="83"/>
      <c r="AK18" s="83"/>
      <c r="AL18" s="83"/>
      <c r="AM18" s="83"/>
    </row>
    <row r="19" spans="1:39" s="78" customFormat="1" x14ac:dyDescent="0.25">
      <c r="A19" s="76" t="s">
        <v>587</v>
      </c>
      <c r="B19" s="76" t="s">
        <v>710</v>
      </c>
      <c r="C19" s="76">
        <v>102</v>
      </c>
      <c r="D19" s="76" t="s">
        <v>589</v>
      </c>
      <c r="E19" s="77">
        <v>45524</v>
      </c>
      <c r="F19" s="76" t="s">
        <v>590</v>
      </c>
      <c r="G19" s="76"/>
      <c r="H19" s="76"/>
      <c r="I19" s="76" t="s">
        <v>654</v>
      </c>
      <c r="J19" s="76" t="s">
        <v>665</v>
      </c>
      <c r="K19" s="76" t="s">
        <v>593</v>
      </c>
      <c r="L19" s="76" t="s">
        <v>711</v>
      </c>
      <c r="M19" s="76" t="s">
        <v>595</v>
      </c>
      <c r="N19" s="76" t="s">
        <v>712</v>
      </c>
      <c r="O19" s="76" t="s">
        <v>281</v>
      </c>
      <c r="P19" s="76" t="s">
        <v>713</v>
      </c>
      <c r="Q19" s="76" t="s">
        <v>611</v>
      </c>
      <c r="R19" s="76"/>
      <c r="S19" s="76" t="s">
        <v>619</v>
      </c>
      <c r="T19" s="77">
        <v>42236</v>
      </c>
      <c r="U19" s="76"/>
      <c r="V19" s="76" t="s">
        <v>602</v>
      </c>
      <c r="W19" s="76" t="s">
        <v>601</v>
      </c>
      <c r="X19" s="76" t="s">
        <v>380</v>
      </c>
      <c r="Y19" s="76" t="s">
        <v>661</v>
      </c>
      <c r="Z19" s="76" t="s">
        <v>714</v>
      </c>
      <c r="AA19" s="76"/>
      <c r="AB19" s="76"/>
      <c r="AC19" s="76" t="s">
        <v>613</v>
      </c>
      <c r="AD19" s="82" t="s">
        <v>663</v>
      </c>
      <c r="AE19" s="83"/>
      <c r="AF19" s="83"/>
      <c r="AG19" s="83"/>
      <c r="AH19" s="83"/>
      <c r="AI19" s="83"/>
      <c r="AJ19" s="83"/>
      <c r="AK19" s="83"/>
      <c r="AL19" s="83"/>
      <c r="AM19" s="83"/>
    </row>
    <row r="20" spans="1:39" s="78" customFormat="1" x14ac:dyDescent="0.25">
      <c r="A20" s="76" t="s">
        <v>587</v>
      </c>
      <c r="B20" s="76" t="s">
        <v>715</v>
      </c>
      <c r="C20" s="76">
        <v>118</v>
      </c>
      <c r="D20" s="76" t="s">
        <v>589</v>
      </c>
      <c r="E20" s="77">
        <v>45523</v>
      </c>
      <c r="F20" s="76" t="s">
        <v>590</v>
      </c>
      <c r="G20" s="76"/>
      <c r="H20" s="76"/>
      <c r="I20" s="76"/>
      <c r="J20" s="76" t="s">
        <v>665</v>
      </c>
      <c r="K20" s="76" t="s">
        <v>593</v>
      </c>
      <c r="L20" s="76" t="s">
        <v>716</v>
      </c>
      <c r="M20" s="76" t="s">
        <v>595</v>
      </c>
      <c r="N20" s="76" t="s">
        <v>712</v>
      </c>
      <c r="O20" s="76" t="s">
        <v>281</v>
      </c>
      <c r="P20" s="76" t="s">
        <v>717</v>
      </c>
      <c r="Q20" s="76" t="s">
        <v>63</v>
      </c>
      <c r="R20" s="76" t="s">
        <v>718</v>
      </c>
      <c r="S20" s="76" t="s">
        <v>237</v>
      </c>
      <c r="T20" s="77">
        <v>42857</v>
      </c>
      <c r="U20" s="76"/>
      <c r="V20" s="76" t="s">
        <v>602</v>
      </c>
      <c r="W20" s="76" t="s">
        <v>601</v>
      </c>
      <c r="X20" s="76" t="s">
        <v>380</v>
      </c>
      <c r="Y20" s="76" t="s">
        <v>642</v>
      </c>
      <c r="Z20" s="76" t="s">
        <v>719</v>
      </c>
      <c r="AA20" s="76"/>
      <c r="AB20" s="76"/>
      <c r="AC20" s="76" t="s">
        <v>632</v>
      </c>
      <c r="AD20" s="82" t="s">
        <v>606</v>
      </c>
      <c r="AE20" s="83"/>
      <c r="AF20" s="83"/>
      <c r="AG20" s="83"/>
      <c r="AH20" s="83"/>
      <c r="AI20" s="83"/>
      <c r="AJ20" s="83"/>
      <c r="AK20" s="83"/>
      <c r="AL20" s="83"/>
      <c r="AM20" s="83"/>
    </row>
    <row r="21" spans="1:39" s="78" customFormat="1" x14ac:dyDescent="0.25">
      <c r="A21" s="76" t="s">
        <v>587</v>
      </c>
      <c r="B21" s="76" t="s">
        <v>720</v>
      </c>
      <c r="C21" s="76">
        <v>156</v>
      </c>
      <c r="D21" s="76" t="s">
        <v>589</v>
      </c>
      <c r="E21" s="77">
        <v>45896</v>
      </c>
      <c r="F21" s="76" t="s">
        <v>590</v>
      </c>
      <c r="G21" s="76"/>
      <c r="H21" s="76"/>
      <c r="I21" s="76"/>
      <c r="J21" s="76" t="s">
        <v>665</v>
      </c>
      <c r="K21" s="76" t="s">
        <v>593</v>
      </c>
      <c r="L21" s="76" t="s">
        <v>721</v>
      </c>
      <c r="M21" s="76" t="s">
        <v>609</v>
      </c>
      <c r="N21" s="76" t="s">
        <v>722</v>
      </c>
      <c r="O21" s="76" t="s">
        <v>723</v>
      </c>
      <c r="P21" s="76" t="s">
        <v>724</v>
      </c>
      <c r="Q21" s="76" t="s">
        <v>611</v>
      </c>
      <c r="R21" s="76"/>
      <c r="S21" s="76" t="s">
        <v>619</v>
      </c>
      <c r="T21" s="77">
        <v>43389</v>
      </c>
      <c r="U21" s="76" t="s">
        <v>602</v>
      </c>
      <c r="V21" s="76" t="s">
        <v>602</v>
      </c>
      <c r="W21" s="76" t="s">
        <v>601</v>
      </c>
      <c r="X21" s="76" t="s">
        <v>379</v>
      </c>
      <c r="Y21" s="76" t="s">
        <v>725</v>
      </c>
      <c r="Z21" s="76" t="s">
        <v>719</v>
      </c>
      <c r="AA21" s="76"/>
      <c r="AB21" s="76"/>
      <c r="AC21" s="76" t="s">
        <v>726</v>
      </c>
      <c r="AD21" s="82" t="s">
        <v>606</v>
      </c>
      <c r="AE21" s="83"/>
      <c r="AF21" s="83"/>
      <c r="AG21" s="83"/>
      <c r="AH21" s="83"/>
      <c r="AI21" s="83"/>
      <c r="AJ21" s="83"/>
      <c r="AK21" s="83"/>
      <c r="AL21" s="83"/>
      <c r="AM21" s="83"/>
    </row>
    <row r="22" spans="1:39" s="78" customFormat="1" x14ac:dyDescent="0.25">
      <c r="A22" s="76" t="s">
        <v>587</v>
      </c>
      <c r="B22" s="76" t="s">
        <v>727</v>
      </c>
      <c r="C22" s="76">
        <v>73</v>
      </c>
      <c r="D22" s="76" t="s">
        <v>589</v>
      </c>
      <c r="E22" s="77">
        <v>45198</v>
      </c>
      <c r="F22" s="76" t="s">
        <v>590</v>
      </c>
      <c r="G22" s="76"/>
      <c r="H22" s="76"/>
      <c r="I22" s="76"/>
      <c r="J22" s="76" t="s">
        <v>665</v>
      </c>
      <c r="K22" s="76" t="s">
        <v>593</v>
      </c>
      <c r="L22" s="76" t="s">
        <v>728</v>
      </c>
      <c r="M22" s="76" t="s">
        <v>617</v>
      </c>
      <c r="N22" s="76" t="s">
        <v>729</v>
      </c>
      <c r="O22" s="76"/>
      <c r="P22" s="76" t="s">
        <v>724</v>
      </c>
      <c r="Q22" s="76" t="s">
        <v>611</v>
      </c>
      <c r="R22" s="76"/>
      <c r="S22" s="76"/>
      <c r="T22" s="77">
        <v>42179</v>
      </c>
      <c r="U22" s="76" t="s">
        <v>602</v>
      </c>
      <c r="V22" s="76" t="s">
        <v>602</v>
      </c>
      <c r="W22" s="76" t="s">
        <v>601</v>
      </c>
      <c r="X22" s="76" t="s">
        <v>380</v>
      </c>
      <c r="Y22" s="76" t="s">
        <v>661</v>
      </c>
      <c r="Z22" s="76" t="s">
        <v>714</v>
      </c>
      <c r="AA22" s="76"/>
      <c r="AB22" s="76"/>
      <c r="AC22" s="76" t="s">
        <v>613</v>
      </c>
      <c r="AD22" s="82" t="s">
        <v>663</v>
      </c>
      <c r="AE22" s="83"/>
      <c r="AF22" s="83"/>
      <c r="AG22" s="83"/>
      <c r="AH22" s="83"/>
      <c r="AI22" s="83"/>
      <c r="AJ22" s="83"/>
      <c r="AK22" s="83"/>
      <c r="AL22" s="83"/>
      <c r="AM22" s="83"/>
    </row>
    <row r="23" spans="1:39" s="78" customFormat="1" x14ac:dyDescent="0.25">
      <c r="A23" s="76" t="s">
        <v>587</v>
      </c>
      <c r="B23" s="76" t="s">
        <v>730</v>
      </c>
      <c r="C23" s="76">
        <v>24</v>
      </c>
      <c r="D23" s="76" t="s">
        <v>589</v>
      </c>
      <c r="E23" s="77">
        <v>45191</v>
      </c>
      <c r="F23" s="76" t="s">
        <v>590</v>
      </c>
      <c r="G23" s="76"/>
      <c r="H23" s="76"/>
      <c r="I23" s="76" t="s">
        <v>591</v>
      </c>
      <c r="J23" s="76" t="s">
        <v>665</v>
      </c>
      <c r="K23" s="76" t="s">
        <v>593</v>
      </c>
      <c r="L23" s="76" t="s">
        <v>731</v>
      </c>
      <c r="M23" s="76" t="s">
        <v>677</v>
      </c>
      <c r="N23" s="76"/>
      <c r="O23" s="76" t="s">
        <v>732</v>
      </c>
      <c r="P23" s="76" t="s">
        <v>733</v>
      </c>
      <c r="Q23" s="76" t="s">
        <v>611</v>
      </c>
      <c r="R23" s="76"/>
      <c r="S23" s="76"/>
      <c r="T23" s="77">
        <v>41865</v>
      </c>
      <c r="U23" s="76" t="s">
        <v>620</v>
      </c>
      <c r="V23" s="76" t="s">
        <v>602</v>
      </c>
      <c r="W23" s="76" t="s">
        <v>601</v>
      </c>
      <c r="X23" s="76" t="s">
        <v>380</v>
      </c>
      <c r="Y23" s="76" t="s">
        <v>696</v>
      </c>
      <c r="Z23" s="76"/>
      <c r="AA23" s="76"/>
      <c r="AB23" s="76"/>
      <c r="AC23" s="76" t="s">
        <v>605</v>
      </c>
      <c r="AD23" s="82" t="s">
        <v>663</v>
      </c>
      <c r="AE23" s="83"/>
      <c r="AF23" s="83"/>
      <c r="AG23" s="83"/>
      <c r="AH23" s="83"/>
      <c r="AI23" s="83"/>
      <c r="AJ23" s="83"/>
      <c r="AK23" s="83"/>
      <c r="AL23" s="83"/>
      <c r="AM23" s="83"/>
    </row>
    <row r="24" spans="1:39" s="78" customFormat="1" x14ac:dyDescent="0.25">
      <c r="A24" s="76" t="s">
        <v>587</v>
      </c>
      <c r="B24" s="76" t="s">
        <v>734</v>
      </c>
      <c r="C24" s="76">
        <v>45</v>
      </c>
      <c r="D24" s="76" t="s">
        <v>589</v>
      </c>
      <c r="E24" s="77">
        <v>45195</v>
      </c>
      <c r="F24" s="76" t="s">
        <v>590</v>
      </c>
      <c r="G24" s="76"/>
      <c r="H24" s="76"/>
      <c r="I24" s="76" t="s">
        <v>654</v>
      </c>
      <c r="J24" s="76" t="s">
        <v>592</v>
      </c>
      <c r="K24" s="76" t="s">
        <v>593</v>
      </c>
      <c r="L24" s="76" t="s">
        <v>735</v>
      </c>
      <c r="M24" s="76" t="s">
        <v>656</v>
      </c>
      <c r="N24" s="76" t="s">
        <v>617</v>
      </c>
      <c r="O24" s="76" t="s">
        <v>656</v>
      </c>
      <c r="P24" s="76" t="s">
        <v>736</v>
      </c>
      <c r="Q24" s="76" t="s">
        <v>656</v>
      </c>
      <c r="R24" s="76" t="s">
        <v>737</v>
      </c>
      <c r="S24" s="76" t="s">
        <v>656</v>
      </c>
      <c r="T24" s="77">
        <v>42242</v>
      </c>
      <c r="U24" s="76" t="s">
        <v>601</v>
      </c>
      <c r="V24" s="76" t="s">
        <v>602</v>
      </c>
      <c r="W24" s="76" t="s">
        <v>601</v>
      </c>
      <c r="X24" s="76" t="s">
        <v>380</v>
      </c>
      <c r="Y24" s="76" t="s">
        <v>738</v>
      </c>
      <c r="Z24" s="76" t="s">
        <v>651</v>
      </c>
      <c r="AA24" s="76"/>
      <c r="AB24" s="76"/>
      <c r="AC24" s="76" t="s">
        <v>613</v>
      </c>
      <c r="AD24" s="82" t="s">
        <v>606</v>
      </c>
      <c r="AE24" s="83"/>
      <c r="AF24" s="83"/>
      <c r="AG24" s="83"/>
      <c r="AH24" s="83"/>
      <c r="AI24" s="83"/>
      <c r="AJ24" s="83"/>
      <c r="AK24" s="83"/>
      <c r="AL24" s="83"/>
      <c r="AM24" s="83"/>
    </row>
    <row r="25" spans="1:39" s="78" customFormat="1" x14ac:dyDescent="0.25">
      <c r="A25" s="76" t="s">
        <v>587</v>
      </c>
      <c r="B25" s="76" t="s">
        <v>739</v>
      </c>
      <c r="C25" s="76">
        <v>117</v>
      </c>
      <c r="D25" s="76" t="s">
        <v>589</v>
      </c>
      <c r="E25" s="77">
        <v>45195</v>
      </c>
      <c r="F25" s="76" t="s">
        <v>590</v>
      </c>
      <c r="G25" s="76"/>
      <c r="H25" s="76"/>
      <c r="I25" s="76" t="s">
        <v>591</v>
      </c>
      <c r="J25" s="76" t="s">
        <v>592</v>
      </c>
      <c r="K25" s="76" t="s">
        <v>593</v>
      </c>
      <c r="L25" s="76" t="s">
        <v>740</v>
      </c>
      <c r="M25" s="76" t="s">
        <v>741</v>
      </c>
      <c r="N25" s="76" t="s">
        <v>742</v>
      </c>
      <c r="O25" s="76"/>
      <c r="P25" s="76" t="s">
        <v>743</v>
      </c>
      <c r="Q25" s="76" t="s">
        <v>611</v>
      </c>
      <c r="R25" s="76"/>
      <c r="S25" s="76"/>
      <c r="T25" s="77">
        <v>41923</v>
      </c>
      <c r="U25" s="76" t="s">
        <v>744</v>
      </c>
      <c r="V25" s="76" t="s">
        <v>602</v>
      </c>
      <c r="W25" s="76" t="s">
        <v>601</v>
      </c>
      <c r="X25" s="76" t="s">
        <v>380</v>
      </c>
      <c r="Y25" s="76" t="s">
        <v>636</v>
      </c>
      <c r="Z25" s="76" t="s">
        <v>637</v>
      </c>
      <c r="AA25" s="76" t="s">
        <v>652</v>
      </c>
      <c r="AB25" s="76"/>
      <c r="AC25" s="76" t="s">
        <v>605</v>
      </c>
      <c r="AD25" s="82" t="s">
        <v>606</v>
      </c>
      <c r="AE25" s="83"/>
      <c r="AF25" s="83"/>
      <c r="AG25" s="83"/>
      <c r="AH25" s="83"/>
      <c r="AI25" s="83"/>
      <c r="AJ25" s="83"/>
      <c r="AK25" s="83"/>
      <c r="AL25" s="83"/>
      <c r="AM25" s="83"/>
    </row>
    <row r="26" spans="1:39" s="78" customFormat="1" x14ac:dyDescent="0.25">
      <c r="A26" s="76" t="s">
        <v>587</v>
      </c>
      <c r="B26" s="76" t="s">
        <v>745</v>
      </c>
      <c r="C26" s="76">
        <v>136</v>
      </c>
      <c r="D26" s="76" t="s">
        <v>589</v>
      </c>
      <c r="E26" s="77">
        <v>45867</v>
      </c>
      <c r="F26" s="76" t="s">
        <v>590</v>
      </c>
      <c r="G26" s="76"/>
      <c r="H26" s="76"/>
      <c r="I26" s="76"/>
      <c r="J26" s="76" t="s">
        <v>592</v>
      </c>
      <c r="K26" s="76" t="s">
        <v>593</v>
      </c>
      <c r="L26" s="76" t="s">
        <v>674</v>
      </c>
      <c r="M26" s="76" t="s">
        <v>617</v>
      </c>
      <c r="N26" s="76" t="s">
        <v>746</v>
      </c>
      <c r="O26" s="76"/>
      <c r="P26" s="76" t="s">
        <v>747</v>
      </c>
      <c r="Q26" s="76" t="s">
        <v>611</v>
      </c>
      <c r="R26" s="76"/>
      <c r="S26" s="76"/>
      <c r="T26" s="77">
        <v>43179</v>
      </c>
      <c r="U26" s="76" t="s">
        <v>602</v>
      </c>
      <c r="V26" s="76" t="s">
        <v>602</v>
      </c>
      <c r="W26" s="76" t="s">
        <v>601</v>
      </c>
      <c r="X26" s="76" t="s">
        <v>380</v>
      </c>
      <c r="Y26" s="76" t="s">
        <v>725</v>
      </c>
      <c r="Z26" s="76" t="s">
        <v>748</v>
      </c>
      <c r="AA26" s="76"/>
      <c r="AB26" s="76"/>
      <c r="AC26" s="76" t="s">
        <v>726</v>
      </c>
      <c r="AD26" s="82" t="s">
        <v>606</v>
      </c>
      <c r="AE26" s="83"/>
      <c r="AF26" s="83"/>
      <c r="AG26" s="83"/>
      <c r="AH26" s="83"/>
      <c r="AI26" s="83"/>
      <c r="AJ26" s="83"/>
      <c r="AK26" s="83"/>
      <c r="AL26" s="83"/>
      <c r="AM26" s="83"/>
    </row>
    <row r="27" spans="1:39" s="78" customFormat="1" x14ac:dyDescent="0.25">
      <c r="A27" s="76" t="s">
        <v>587</v>
      </c>
      <c r="B27" s="76" t="s">
        <v>749</v>
      </c>
      <c r="C27" s="76">
        <v>145</v>
      </c>
      <c r="D27" s="76" t="s">
        <v>589</v>
      </c>
      <c r="E27" s="77">
        <v>45881</v>
      </c>
      <c r="F27" s="76" t="s">
        <v>590</v>
      </c>
      <c r="G27" s="76"/>
      <c r="H27" s="76"/>
      <c r="I27" s="76"/>
      <c r="J27" s="76" t="s">
        <v>665</v>
      </c>
      <c r="K27" s="76" t="s">
        <v>593</v>
      </c>
      <c r="L27" s="76" t="s">
        <v>750</v>
      </c>
      <c r="M27" s="76" t="s">
        <v>617</v>
      </c>
      <c r="N27" s="76" t="s">
        <v>751</v>
      </c>
      <c r="O27" s="76"/>
      <c r="P27" s="76" t="s">
        <v>752</v>
      </c>
      <c r="Q27" s="76" t="s">
        <v>611</v>
      </c>
      <c r="R27" s="76"/>
      <c r="S27" s="76"/>
      <c r="T27" s="77">
        <v>42482</v>
      </c>
      <c r="U27" s="76" t="s">
        <v>210</v>
      </c>
      <c r="V27" s="76" t="s">
        <v>602</v>
      </c>
      <c r="W27" s="76" t="s">
        <v>601</v>
      </c>
      <c r="X27" s="76" t="s">
        <v>380</v>
      </c>
      <c r="Y27" s="76" t="s">
        <v>753</v>
      </c>
      <c r="Z27" s="76" t="s">
        <v>662</v>
      </c>
      <c r="AA27" s="76"/>
      <c r="AB27" s="76"/>
      <c r="AC27" s="76" t="s">
        <v>623</v>
      </c>
      <c r="AD27" s="82" t="s">
        <v>663</v>
      </c>
      <c r="AE27" s="83"/>
      <c r="AF27" s="83"/>
      <c r="AG27" s="83"/>
      <c r="AH27" s="83"/>
      <c r="AI27" s="83"/>
      <c r="AJ27" s="83"/>
      <c r="AK27" s="83"/>
      <c r="AL27" s="83"/>
      <c r="AM27" s="83"/>
    </row>
    <row r="28" spans="1:39" s="78" customFormat="1" x14ac:dyDescent="0.25">
      <c r="A28" s="76" t="s">
        <v>587</v>
      </c>
      <c r="B28" s="76" t="s">
        <v>754</v>
      </c>
      <c r="C28" s="76">
        <v>21</v>
      </c>
      <c r="D28" s="76" t="s">
        <v>589</v>
      </c>
      <c r="E28" s="77">
        <v>45191</v>
      </c>
      <c r="F28" s="76" t="s">
        <v>590</v>
      </c>
      <c r="G28" s="76"/>
      <c r="H28" s="76"/>
      <c r="I28" s="76"/>
      <c r="J28" s="76" t="s">
        <v>592</v>
      </c>
      <c r="K28" s="76" t="s">
        <v>593</v>
      </c>
      <c r="L28" s="76" t="s">
        <v>755</v>
      </c>
      <c r="M28" s="76" t="s">
        <v>756</v>
      </c>
      <c r="N28" s="76" t="s">
        <v>756</v>
      </c>
      <c r="O28" s="76" t="s">
        <v>757</v>
      </c>
      <c r="P28" s="76" t="s">
        <v>758</v>
      </c>
      <c r="Q28" s="76" t="s">
        <v>611</v>
      </c>
      <c r="R28" s="76"/>
      <c r="S28" s="76"/>
      <c r="T28" s="77">
        <v>42020</v>
      </c>
      <c r="U28" s="76" t="s">
        <v>601</v>
      </c>
      <c r="V28" s="76" t="s">
        <v>602</v>
      </c>
      <c r="W28" s="76" t="s">
        <v>601</v>
      </c>
      <c r="X28" s="76" t="s">
        <v>380</v>
      </c>
      <c r="Y28" s="76" t="s">
        <v>704</v>
      </c>
      <c r="Z28" s="76" t="s">
        <v>631</v>
      </c>
      <c r="AA28" s="76"/>
      <c r="AB28" s="76"/>
      <c r="AC28" s="76" t="s">
        <v>613</v>
      </c>
      <c r="AD28" s="82" t="s">
        <v>614</v>
      </c>
      <c r="AE28" s="83"/>
      <c r="AF28" s="83"/>
      <c r="AG28" s="83"/>
      <c r="AH28" s="83"/>
      <c r="AI28" s="83"/>
      <c r="AJ28" s="83"/>
      <c r="AK28" s="83"/>
      <c r="AL28" s="83"/>
      <c r="AM28" s="83"/>
    </row>
    <row r="29" spans="1:39" s="78" customFormat="1" x14ac:dyDescent="0.25">
      <c r="A29" s="76" t="s">
        <v>587</v>
      </c>
      <c r="B29" s="76" t="s">
        <v>759</v>
      </c>
      <c r="C29" s="76">
        <v>36</v>
      </c>
      <c r="D29" s="76" t="s">
        <v>589</v>
      </c>
      <c r="E29" s="77">
        <v>45194</v>
      </c>
      <c r="F29" s="76" t="s">
        <v>590</v>
      </c>
      <c r="G29" s="76"/>
      <c r="H29" s="76"/>
      <c r="I29" s="76"/>
      <c r="J29" s="76" t="s">
        <v>592</v>
      </c>
      <c r="K29" s="76" t="s">
        <v>593</v>
      </c>
      <c r="L29" s="76" t="s">
        <v>760</v>
      </c>
      <c r="M29" s="76"/>
      <c r="N29" s="76" t="s">
        <v>617</v>
      </c>
      <c r="O29" s="76" t="s">
        <v>761</v>
      </c>
      <c r="P29" s="76" t="s">
        <v>762</v>
      </c>
      <c r="Q29" s="76" t="s">
        <v>611</v>
      </c>
      <c r="R29" s="76"/>
      <c r="S29" s="76"/>
      <c r="T29" s="77">
        <v>42379</v>
      </c>
      <c r="U29" s="76" t="s">
        <v>763</v>
      </c>
      <c r="V29" s="76" t="s">
        <v>602</v>
      </c>
      <c r="W29" s="76" t="s">
        <v>601</v>
      </c>
      <c r="X29" s="76" t="s">
        <v>380</v>
      </c>
      <c r="Y29" s="76" t="s">
        <v>642</v>
      </c>
      <c r="Z29" s="76"/>
      <c r="AA29" s="76"/>
      <c r="AB29" s="76"/>
      <c r="AC29" s="76" t="s">
        <v>623</v>
      </c>
      <c r="AD29" s="82" t="s">
        <v>606</v>
      </c>
      <c r="AE29" s="83"/>
      <c r="AF29" s="83"/>
      <c r="AG29" s="83"/>
      <c r="AH29" s="83"/>
      <c r="AI29" s="83"/>
      <c r="AJ29" s="83"/>
      <c r="AK29" s="83"/>
      <c r="AL29" s="83"/>
      <c r="AM29" s="83"/>
    </row>
    <row r="30" spans="1:39" s="78" customFormat="1" x14ac:dyDescent="0.25">
      <c r="A30" s="76" t="s">
        <v>587</v>
      </c>
      <c r="B30" s="76" t="s">
        <v>764</v>
      </c>
      <c r="C30" s="76">
        <v>86</v>
      </c>
      <c r="D30" s="76" t="s">
        <v>589</v>
      </c>
      <c r="E30" s="77">
        <v>45517</v>
      </c>
      <c r="F30" s="76" t="s">
        <v>590</v>
      </c>
      <c r="G30" s="76"/>
      <c r="H30" s="76"/>
      <c r="I30" s="76" t="s">
        <v>654</v>
      </c>
      <c r="J30" s="76" t="s">
        <v>592</v>
      </c>
      <c r="K30" s="76" t="s">
        <v>593</v>
      </c>
      <c r="L30" s="76" t="s">
        <v>765</v>
      </c>
      <c r="M30" s="76" t="s">
        <v>677</v>
      </c>
      <c r="N30" s="76" t="s">
        <v>766</v>
      </c>
      <c r="O30" s="76"/>
      <c r="P30" s="76" t="s">
        <v>767</v>
      </c>
      <c r="Q30" s="76" t="s">
        <v>611</v>
      </c>
      <c r="R30" s="76"/>
      <c r="S30" s="76" t="s">
        <v>619</v>
      </c>
      <c r="T30" s="77">
        <v>42479</v>
      </c>
      <c r="U30" s="76"/>
      <c r="V30" s="76" t="s">
        <v>602</v>
      </c>
      <c r="W30" s="76" t="s">
        <v>601</v>
      </c>
      <c r="X30" s="76" t="s">
        <v>380</v>
      </c>
      <c r="Y30" s="76" t="s">
        <v>642</v>
      </c>
      <c r="Z30" s="76" t="s">
        <v>687</v>
      </c>
      <c r="AA30" s="76"/>
      <c r="AB30" s="76"/>
      <c r="AC30" s="76" t="s">
        <v>623</v>
      </c>
      <c r="AD30" s="82" t="s">
        <v>614</v>
      </c>
      <c r="AE30" s="83"/>
      <c r="AF30" s="83"/>
      <c r="AG30" s="83"/>
      <c r="AH30" s="83"/>
      <c r="AI30" s="83"/>
      <c r="AJ30" s="83"/>
      <c r="AK30" s="83"/>
      <c r="AL30" s="83"/>
      <c r="AM30" s="83"/>
    </row>
    <row r="31" spans="1:39" s="78" customFormat="1" x14ac:dyDescent="0.25">
      <c r="A31" s="76" t="s">
        <v>587</v>
      </c>
      <c r="B31" s="76" t="s">
        <v>768</v>
      </c>
      <c r="C31" s="76">
        <v>146</v>
      </c>
      <c r="D31" s="76" t="s">
        <v>589</v>
      </c>
      <c r="E31" s="77">
        <v>45888</v>
      </c>
      <c r="F31" s="76" t="s">
        <v>590</v>
      </c>
      <c r="G31" s="76"/>
      <c r="H31" s="76"/>
      <c r="I31" s="76"/>
      <c r="J31" s="76" t="s">
        <v>592</v>
      </c>
      <c r="K31" s="76" t="s">
        <v>593</v>
      </c>
      <c r="L31" s="76" t="s">
        <v>769</v>
      </c>
      <c r="M31" s="76" t="s">
        <v>770</v>
      </c>
      <c r="N31" s="76" t="s">
        <v>771</v>
      </c>
      <c r="O31" s="76" t="s">
        <v>772</v>
      </c>
      <c r="P31" s="76" t="s">
        <v>773</v>
      </c>
      <c r="Q31" s="76" t="s">
        <v>770</v>
      </c>
      <c r="R31" s="76" t="s">
        <v>771</v>
      </c>
      <c r="S31" s="76" t="s">
        <v>772</v>
      </c>
      <c r="T31" s="77">
        <v>43353</v>
      </c>
      <c r="U31" s="76" t="s">
        <v>601</v>
      </c>
      <c r="V31" s="76" t="s">
        <v>602</v>
      </c>
      <c r="W31" s="76" t="s">
        <v>601</v>
      </c>
      <c r="X31" s="76" t="s">
        <v>380</v>
      </c>
      <c r="Y31" s="76" t="s">
        <v>630</v>
      </c>
      <c r="Z31" s="76" t="s">
        <v>774</v>
      </c>
      <c r="AA31" s="76"/>
      <c r="AB31" s="76"/>
      <c r="AC31" s="76" t="s">
        <v>726</v>
      </c>
      <c r="AD31" s="82" t="s">
        <v>606</v>
      </c>
      <c r="AE31" s="83"/>
      <c r="AF31" s="83"/>
      <c r="AG31" s="83"/>
      <c r="AH31" s="83"/>
      <c r="AI31" s="83"/>
      <c r="AJ31" s="83"/>
      <c r="AK31" s="83"/>
      <c r="AL31" s="83"/>
      <c r="AM31" s="83"/>
    </row>
    <row r="32" spans="1:39" s="78" customFormat="1" x14ac:dyDescent="0.25">
      <c r="A32" s="76" t="s">
        <v>587</v>
      </c>
      <c r="B32" s="76" t="s">
        <v>775</v>
      </c>
      <c r="C32" s="76">
        <v>159</v>
      </c>
      <c r="D32" s="76" t="s">
        <v>589</v>
      </c>
      <c r="E32" s="77">
        <v>44812</v>
      </c>
      <c r="F32" s="76" t="s">
        <v>590</v>
      </c>
      <c r="G32" s="76"/>
      <c r="H32" s="76"/>
      <c r="I32" s="76"/>
      <c r="J32" s="76" t="s">
        <v>665</v>
      </c>
      <c r="K32" s="76" t="s">
        <v>593</v>
      </c>
      <c r="L32" s="76" t="s">
        <v>776</v>
      </c>
      <c r="M32" s="76" t="s">
        <v>617</v>
      </c>
      <c r="N32" s="76"/>
      <c r="O32" s="76"/>
      <c r="P32" s="76" t="s">
        <v>777</v>
      </c>
      <c r="Q32" s="76" t="s">
        <v>611</v>
      </c>
      <c r="R32" s="76"/>
      <c r="S32" s="76" t="s">
        <v>202</v>
      </c>
      <c r="T32" s="77">
        <v>42219</v>
      </c>
      <c r="U32" s="76" t="s">
        <v>778</v>
      </c>
      <c r="V32" s="76" t="s">
        <v>602</v>
      </c>
      <c r="W32" s="76" t="s">
        <v>601</v>
      </c>
      <c r="X32" s="76" t="s">
        <v>380</v>
      </c>
      <c r="Y32" s="76" t="s">
        <v>612</v>
      </c>
      <c r="Z32" s="76" t="s">
        <v>681</v>
      </c>
      <c r="AA32" s="76"/>
      <c r="AB32" s="76"/>
      <c r="AC32" s="76" t="s">
        <v>613</v>
      </c>
      <c r="AD32" s="82" t="s">
        <v>614</v>
      </c>
      <c r="AE32" s="83"/>
      <c r="AF32" s="83"/>
      <c r="AG32" s="83"/>
      <c r="AH32" s="83"/>
      <c r="AI32" s="83"/>
      <c r="AJ32" s="83"/>
      <c r="AK32" s="83"/>
      <c r="AL32" s="83"/>
      <c r="AM32" s="83"/>
    </row>
    <row r="33" spans="1:39" s="78" customFormat="1" x14ac:dyDescent="0.25">
      <c r="A33" s="76" t="s">
        <v>587</v>
      </c>
      <c r="B33" s="76" t="s">
        <v>779</v>
      </c>
      <c r="C33" s="76">
        <v>103</v>
      </c>
      <c r="D33" s="76" t="s">
        <v>589</v>
      </c>
      <c r="E33" s="77">
        <v>45524</v>
      </c>
      <c r="F33" s="76" t="s">
        <v>590</v>
      </c>
      <c r="G33" s="76"/>
      <c r="H33" s="76"/>
      <c r="I33" s="76" t="s">
        <v>654</v>
      </c>
      <c r="J33" s="76" t="s">
        <v>665</v>
      </c>
      <c r="K33" s="76" t="s">
        <v>593</v>
      </c>
      <c r="L33" s="76" t="s">
        <v>780</v>
      </c>
      <c r="M33" s="76"/>
      <c r="N33" s="76" t="s">
        <v>160</v>
      </c>
      <c r="O33" s="76" t="s">
        <v>781</v>
      </c>
      <c r="P33" s="76" t="s">
        <v>782</v>
      </c>
      <c r="Q33" s="76"/>
      <c r="R33" s="76" t="s">
        <v>619</v>
      </c>
      <c r="S33" s="76" t="s">
        <v>781</v>
      </c>
      <c r="T33" s="77">
        <v>42603</v>
      </c>
      <c r="U33" s="76" t="s">
        <v>783</v>
      </c>
      <c r="V33" s="76" t="s">
        <v>602</v>
      </c>
      <c r="W33" s="76" t="s">
        <v>601</v>
      </c>
      <c r="X33" s="76" t="s">
        <v>379</v>
      </c>
      <c r="Y33" s="76" t="s">
        <v>784</v>
      </c>
      <c r="Z33" s="76"/>
      <c r="AA33" s="76"/>
      <c r="AB33" s="76"/>
      <c r="AC33" s="76" t="s">
        <v>623</v>
      </c>
      <c r="AD33" s="82" t="s">
        <v>606</v>
      </c>
      <c r="AE33" s="83"/>
      <c r="AF33" s="83"/>
      <c r="AG33" s="83"/>
      <c r="AH33" s="83"/>
      <c r="AI33" s="83"/>
      <c r="AJ33" s="83"/>
      <c r="AK33" s="83"/>
      <c r="AL33" s="83"/>
      <c r="AM33" s="83"/>
    </row>
    <row r="34" spans="1:39" s="78" customFormat="1" x14ac:dyDescent="0.25">
      <c r="A34" s="76" t="s">
        <v>587</v>
      </c>
      <c r="B34" s="76" t="s">
        <v>785</v>
      </c>
      <c r="C34" s="76">
        <v>98</v>
      </c>
      <c r="D34" s="76" t="s">
        <v>589</v>
      </c>
      <c r="E34" s="77">
        <v>45523</v>
      </c>
      <c r="F34" s="76" t="s">
        <v>590</v>
      </c>
      <c r="G34" s="76"/>
      <c r="H34" s="76"/>
      <c r="I34" s="76" t="s">
        <v>684</v>
      </c>
      <c r="J34" s="76" t="s">
        <v>665</v>
      </c>
      <c r="K34" s="76" t="s">
        <v>593</v>
      </c>
      <c r="L34" s="76" t="s">
        <v>634</v>
      </c>
      <c r="M34" s="76" t="s">
        <v>786</v>
      </c>
      <c r="N34" s="76" t="s">
        <v>787</v>
      </c>
      <c r="O34" s="76" t="s">
        <v>169</v>
      </c>
      <c r="P34" s="76" t="s">
        <v>724</v>
      </c>
      <c r="Q34" s="76" t="s">
        <v>611</v>
      </c>
      <c r="R34" s="76"/>
      <c r="S34" s="76" t="s">
        <v>619</v>
      </c>
      <c r="T34" s="77">
        <v>42291</v>
      </c>
      <c r="U34" s="76"/>
      <c r="V34" s="76" t="s">
        <v>602</v>
      </c>
      <c r="W34" s="76" t="s">
        <v>601</v>
      </c>
      <c r="X34" s="76" t="s">
        <v>380</v>
      </c>
      <c r="Y34" s="76" t="s">
        <v>661</v>
      </c>
      <c r="Z34" s="76" t="s">
        <v>714</v>
      </c>
      <c r="AA34" s="76"/>
      <c r="AB34" s="76"/>
      <c r="AC34" s="76" t="s">
        <v>613</v>
      </c>
      <c r="AD34" s="82" t="s">
        <v>663</v>
      </c>
      <c r="AE34" s="83"/>
      <c r="AF34" s="83"/>
      <c r="AG34" s="83"/>
      <c r="AH34" s="83"/>
      <c r="AI34" s="83"/>
      <c r="AJ34" s="83"/>
      <c r="AK34" s="83"/>
      <c r="AL34" s="83"/>
      <c r="AM34" s="83"/>
    </row>
    <row r="35" spans="1:39" s="78" customFormat="1" x14ac:dyDescent="0.25">
      <c r="A35" s="76" t="s">
        <v>587</v>
      </c>
      <c r="B35" s="76" t="s">
        <v>788</v>
      </c>
      <c r="C35" s="76">
        <v>47</v>
      </c>
      <c r="D35" s="76" t="s">
        <v>589</v>
      </c>
      <c r="E35" s="77">
        <v>45195</v>
      </c>
      <c r="F35" s="76" t="s">
        <v>590</v>
      </c>
      <c r="G35" s="76"/>
      <c r="H35" s="76"/>
      <c r="I35" s="76" t="s">
        <v>591</v>
      </c>
      <c r="J35" s="76" t="s">
        <v>592</v>
      </c>
      <c r="K35" s="76" t="s">
        <v>593</v>
      </c>
      <c r="L35" s="76" t="s">
        <v>765</v>
      </c>
      <c r="M35" s="76" t="s">
        <v>617</v>
      </c>
      <c r="N35" s="76" t="s">
        <v>617</v>
      </c>
      <c r="O35" s="76" t="s">
        <v>640</v>
      </c>
      <c r="P35" s="76" t="s">
        <v>692</v>
      </c>
      <c r="Q35" s="76" t="s">
        <v>611</v>
      </c>
      <c r="R35" s="76"/>
      <c r="S35" s="76"/>
      <c r="T35" s="77">
        <v>41859</v>
      </c>
      <c r="U35" s="76" t="s">
        <v>602</v>
      </c>
      <c r="V35" s="76" t="s">
        <v>602</v>
      </c>
      <c r="W35" s="76" t="s">
        <v>601</v>
      </c>
      <c r="X35" s="76" t="s">
        <v>380</v>
      </c>
      <c r="Y35" s="76" t="s">
        <v>650</v>
      </c>
      <c r="Z35" s="76" t="s">
        <v>672</v>
      </c>
      <c r="AA35" s="76" t="s">
        <v>652</v>
      </c>
      <c r="AB35" s="76"/>
      <c r="AC35" s="76" t="s">
        <v>605</v>
      </c>
      <c r="AD35" s="82" t="s">
        <v>606</v>
      </c>
      <c r="AE35" s="83"/>
      <c r="AF35" s="83"/>
      <c r="AG35" s="83"/>
      <c r="AH35" s="83"/>
      <c r="AI35" s="83"/>
      <c r="AJ35" s="83"/>
      <c r="AK35" s="83"/>
      <c r="AL35" s="83"/>
      <c r="AM35" s="83"/>
    </row>
    <row r="36" spans="1:39" s="78" customFormat="1" x14ac:dyDescent="0.25">
      <c r="A36" s="76" t="s">
        <v>587</v>
      </c>
      <c r="B36" s="76" t="s">
        <v>789</v>
      </c>
      <c r="C36" s="76">
        <v>157</v>
      </c>
      <c r="D36" s="76" t="s">
        <v>589</v>
      </c>
      <c r="E36" s="77">
        <v>45898</v>
      </c>
      <c r="F36" s="76" t="s">
        <v>590</v>
      </c>
      <c r="G36" s="76"/>
      <c r="H36" s="76"/>
      <c r="I36" s="76"/>
      <c r="J36" s="76" t="s">
        <v>592</v>
      </c>
      <c r="K36" s="76" t="s">
        <v>593</v>
      </c>
      <c r="L36" s="76" t="s">
        <v>790</v>
      </c>
      <c r="M36" s="76" t="s">
        <v>609</v>
      </c>
      <c r="N36" s="76" t="s">
        <v>791</v>
      </c>
      <c r="O36" s="76" t="s">
        <v>37</v>
      </c>
      <c r="P36" s="76" t="s">
        <v>792</v>
      </c>
      <c r="Q36" s="76" t="s">
        <v>793</v>
      </c>
      <c r="R36" s="76" t="s">
        <v>794</v>
      </c>
      <c r="S36" s="76" t="s">
        <v>701</v>
      </c>
      <c r="T36" s="77">
        <v>43124</v>
      </c>
      <c r="U36" s="76" t="s">
        <v>602</v>
      </c>
      <c r="V36" s="76" t="s">
        <v>602</v>
      </c>
      <c r="W36" s="76" t="s">
        <v>601</v>
      </c>
      <c r="X36" s="76" t="s">
        <v>380</v>
      </c>
      <c r="Y36" s="76" t="s">
        <v>753</v>
      </c>
      <c r="Z36" s="76" t="s">
        <v>662</v>
      </c>
      <c r="AA36" s="76"/>
      <c r="AB36" s="76"/>
      <c r="AC36" s="76" t="s">
        <v>726</v>
      </c>
      <c r="AD36" s="82" t="s">
        <v>663</v>
      </c>
      <c r="AE36" s="83"/>
      <c r="AF36" s="83"/>
      <c r="AG36" s="83"/>
      <c r="AH36" s="83"/>
      <c r="AI36" s="83"/>
      <c r="AJ36" s="83"/>
      <c r="AK36" s="83"/>
      <c r="AL36" s="83"/>
      <c r="AM36" s="83"/>
    </row>
    <row r="37" spans="1:39" s="78" customFormat="1" x14ac:dyDescent="0.25">
      <c r="A37" s="76" t="s">
        <v>587</v>
      </c>
      <c r="B37" s="76" t="s">
        <v>795</v>
      </c>
      <c r="C37" s="76">
        <v>20</v>
      </c>
      <c r="D37" s="76" t="s">
        <v>589</v>
      </c>
      <c r="E37" s="77">
        <v>45191</v>
      </c>
      <c r="F37" s="76" t="s">
        <v>590</v>
      </c>
      <c r="G37" s="76"/>
      <c r="H37" s="76"/>
      <c r="I37" s="76"/>
      <c r="J37" s="76" t="s">
        <v>592</v>
      </c>
      <c r="K37" s="76" t="s">
        <v>593</v>
      </c>
      <c r="L37" s="76" t="s">
        <v>608</v>
      </c>
      <c r="M37" s="76"/>
      <c r="N37" s="76" t="s">
        <v>796</v>
      </c>
      <c r="O37" s="76" t="s">
        <v>797</v>
      </c>
      <c r="P37" s="76" t="s">
        <v>743</v>
      </c>
      <c r="Q37" s="76" t="s">
        <v>656</v>
      </c>
      <c r="R37" s="76" t="s">
        <v>798</v>
      </c>
      <c r="S37" s="76" t="s">
        <v>656</v>
      </c>
      <c r="T37" s="77">
        <v>42172</v>
      </c>
      <c r="U37" s="76" t="s">
        <v>602</v>
      </c>
      <c r="V37" s="76" t="s">
        <v>602</v>
      </c>
      <c r="W37" s="76" t="s">
        <v>601</v>
      </c>
      <c r="X37" s="76" t="s">
        <v>380</v>
      </c>
      <c r="Y37" s="76" t="s">
        <v>738</v>
      </c>
      <c r="Z37" s="76" t="s">
        <v>651</v>
      </c>
      <c r="AA37" s="76"/>
      <c r="AB37" s="76"/>
      <c r="AC37" s="76" t="s">
        <v>613</v>
      </c>
      <c r="AD37" s="82" t="s">
        <v>606</v>
      </c>
      <c r="AE37" s="83"/>
      <c r="AF37" s="83"/>
      <c r="AG37" s="83"/>
      <c r="AH37" s="83"/>
      <c r="AI37" s="83"/>
      <c r="AJ37" s="83"/>
      <c r="AK37" s="83"/>
      <c r="AL37" s="83"/>
      <c r="AM37" s="83"/>
    </row>
    <row r="38" spans="1:39" s="78" customFormat="1" x14ac:dyDescent="0.25">
      <c r="A38" s="76" t="s">
        <v>587</v>
      </c>
      <c r="B38" s="76" t="s">
        <v>799</v>
      </c>
      <c r="C38" s="76">
        <v>76</v>
      </c>
      <c r="D38" s="76" t="s">
        <v>589</v>
      </c>
      <c r="E38" s="77">
        <v>45516</v>
      </c>
      <c r="F38" s="76" t="s">
        <v>590</v>
      </c>
      <c r="G38" s="76"/>
      <c r="H38" s="76"/>
      <c r="I38" s="76" t="s">
        <v>654</v>
      </c>
      <c r="J38" s="76" t="s">
        <v>592</v>
      </c>
      <c r="K38" s="76" t="s">
        <v>593</v>
      </c>
      <c r="L38" s="76" t="s">
        <v>800</v>
      </c>
      <c r="M38" s="76" t="s">
        <v>786</v>
      </c>
      <c r="N38" s="76"/>
      <c r="O38" s="76" t="s">
        <v>169</v>
      </c>
      <c r="P38" s="76" t="s">
        <v>801</v>
      </c>
      <c r="Q38" s="76" t="s">
        <v>611</v>
      </c>
      <c r="R38" s="76"/>
      <c r="S38" s="76" t="s">
        <v>619</v>
      </c>
      <c r="T38" s="77">
        <v>42695</v>
      </c>
      <c r="U38" s="76"/>
      <c r="V38" s="76" t="s">
        <v>602</v>
      </c>
      <c r="W38" s="76" t="s">
        <v>601</v>
      </c>
      <c r="X38" s="76" t="s">
        <v>380</v>
      </c>
      <c r="Y38" s="76" t="s">
        <v>642</v>
      </c>
      <c r="Z38" s="76" t="s">
        <v>719</v>
      </c>
      <c r="AA38" s="76"/>
      <c r="AB38" s="76"/>
      <c r="AC38" s="76" t="s">
        <v>632</v>
      </c>
      <c r="AD38" s="82" t="s">
        <v>606</v>
      </c>
      <c r="AE38" s="83"/>
      <c r="AF38" s="83"/>
      <c r="AG38" s="83"/>
      <c r="AH38" s="83"/>
      <c r="AI38" s="83"/>
      <c r="AJ38" s="83"/>
      <c r="AK38" s="83"/>
      <c r="AL38" s="83"/>
      <c r="AM38" s="83"/>
    </row>
    <row r="39" spans="1:39" s="78" customFormat="1" x14ac:dyDescent="0.25">
      <c r="A39" s="76" t="s">
        <v>587</v>
      </c>
      <c r="B39" s="76" t="s">
        <v>802</v>
      </c>
      <c r="C39" s="76">
        <v>137</v>
      </c>
      <c r="D39" s="76" t="s">
        <v>589</v>
      </c>
      <c r="E39" s="77">
        <v>45868</v>
      </c>
      <c r="F39" s="76" t="s">
        <v>590</v>
      </c>
      <c r="G39" s="76"/>
      <c r="H39" s="76"/>
      <c r="I39" s="76"/>
      <c r="J39" s="76" t="s">
        <v>592</v>
      </c>
      <c r="K39" s="76" t="s">
        <v>593</v>
      </c>
      <c r="L39" s="76" t="s">
        <v>803</v>
      </c>
      <c r="M39" s="76" t="s">
        <v>617</v>
      </c>
      <c r="N39" s="76" t="s">
        <v>804</v>
      </c>
      <c r="O39" s="76"/>
      <c r="P39" s="76" t="s">
        <v>805</v>
      </c>
      <c r="Q39" s="76" t="s">
        <v>611</v>
      </c>
      <c r="R39" s="76"/>
      <c r="S39" s="76" t="s">
        <v>619</v>
      </c>
      <c r="T39" s="77">
        <v>43127</v>
      </c>
      <c r="U39" s="76" t="s">
        <v>210</v>
      </c>
      <c r="V39" s="76" t="s">
        <v>602</v>
      </c>
      <c r="W39" s="76" t="s">
        <v>601</v>
      </c>
      <c r="X39" s="76" t="s">
        <v>379</v>
      </c>
      <c r="Y39" s="76" t="s">
        <v>725</v>
      </c>
      <c r="Z39" s="76" t="s">
        <v>748</v>
      </c>
      <c r="AA39" s="76"/>
      <c r="AB39" s="76"/>
      <c r="AC39" s="76" t="s">
        <v>726</v>
      </c>
      <c r="AD39" s="82" t="s">
        <v>606</v>
      </c>
      <c r="AE39" s="83"/>
      <c r="AF39" s="83"/>
      <c r="AG39" s="83"/>
      <c r="AH39" s="83"/>
      <c r="AI39" s="83"/>
      <c r="AJ39" s="83"/>
      <c r="AK39" s="83"/>
      <c r="AL39" s="83"/>
      <c r="AM39" s="83"/>
    </row>
    <row r="40" spans="1:39" s="78" customFormat="1" x14ac:dyDescent="0.25">
      <c r="A40" s="76" t="s">
        <v>587</v>
      </c>
      <c r="B40" s="76" t="s">
        <v>806</v>
      </c>
      <c r="C40" s="76">
        <v>119</v>
      </c>
      <c r="D40" s="76" t="s">
        <v>589</v>
      </c>
      <c r="E40" s="77">
        <v>44811</v>
      </c>
      <c r="F40" s="76" t="s">
        <v>590</v>
      </c>
      <c r="G40" s="76"/>
      <c r="H40" s="76"/>
      <c r="I40" s="76"/>
      <c r="J40" s="76" t="s">
        <v>592</v>
      </c>
      <c r="K40" s="76" t="s">
        <v>593</v>
      </c>
      <c r="L40" s="76" t="s">
        <v>807</v>
      </c>
      <c r="M40" s="76" t="s">
        <v>595</v>
      </c>
      <c r="N40" s="76"/>
      <c r="O40" s="76"/>
      <c r="P40" s="76" t="s">
        <v>808</v>
      </c>
      <c r="Q40" s="76" t="s">
        <v>809</v>
      </c>
      <c r="R40" s="76"/>
      <c r="S40" s="76"/>
      <c r="T40" s="77">
        <v>42090</v>
      </c>
      <c r="U40" s="76" t="s">
        <v>810</v>
      </c>
      <c r="V40" s="76" t="s">
        <v>602</v>
      </c>
      <c r="W40" s="76" t="s">
        <v>601</v>
      </c>
      <c r="X40" s="76" t="s">
        <v>380</v>
      </c>
      <c r="Y40" s="76" t="s">
        <v>696</v>
      </c>
      <c r="Z40" s="76"/>
      <c r="AA40" s="76"/>
      <c r="AB40" s="76"/>
      <c r="AC40" s="76" t="s">
        <v>613</v>
      </c>
      <c r="AD40" s="82" t="s">
        <v>663</v>
      </c>
      <c r="AE40" s="83"/>
      <c r="AF40" s="83"/>
      <c r="AG40" s="83"/>
      <c r="AH40" s="83"/>
      <c r="AI40" s="83"/>
      <c r="AJ40" s="83"/>
      <c r="AK40" s="83"/>
      <c r="AL40" s="83"/>
      <c r="AM40" s="83"/>
    </row>
    <row r="41" spans="1:39" s="78" customFormat="1" x14ac:dyDescent="0.25">
      <c r="A41" s="76" t="s">
        <v>587</v>
      </c>
      <c r="B41" s="76" t="s">
        <v>811</v>
      </c>
      <c r="C41" s="76">
        <v>100</v>
      </c>
      <c r="D41" s="76" t="s">
        <v>589</v>
      </c>
      <c r="E41" s="77">
        <v>45523</v>
      </c>
      <c r="F41" s="76" t="s">
        <v>590</v>
      </c>
      <c r="G41" s="76"/>
      <c r="H41" s="76"/>
      <c r="I41" s="76" t="s">
        <v>654</v>
      </c>
      <c r="J41" s="76" t="s">
        <v>592</v>
      </c>
      <c r="K41" s="76" t="s">
        <v>593</v>
      </c>
      <c r="L41" s="76" t="s">
        <v>812</v>
      </c>
      <c r="M41" s="76" t="s">
        <v>595</v>
      </c>
      <c r="N41" s="76"/>
      <c r="O41" s="76"/>
      <c r="P41" s="76" t="s">
        <v>813</v>
      </c>
      <c r="Q41" s="76" t="s">
        <v>814</v>
      </c>
      <c r="R41" s="76" t="s">
        <v>815</v>
      </c>
      <c r="S41" s="76" t="s">
        <v>816</v>
      </c>
      <c r="T41" s="77">
        <v>42406</v>
      </c>
      <c r="U41" s="76"/>
      <c r="V41" s="76" t="s">
        <v>602</v>
      </c>
      <c r="W41" s="76" t="s">
        <v>601</v>
      </c>
      <c r="X41" s="76" t="s">
        <v>380</v>
      </c>
      <c r="Y41" s="76" t="s">
        <v>784</v>
      </c>
      <c r="Z41" s="76"/>
      <c r="AA41" s="76"/>
      <c r="AB41" s="76"/>
      <c r="AC41" s="76" t="s">
        <v>623</v>
      </c>
      <c r="AD41" s="82" t="s">
        <v>606</v>
      </c>
      <c r="AE41" s="83"/>
      <c r="AF41" s="83"/>
      <c r="AG41" s="83"/>
      <c r="AH41" s="83"/>
      <c r="AI41" s="83"/>
      <c r="AJ41" s="83"/>
      <c r="AK41" s="83"/>
      <c r="AL41" s="83"/>
      <c r="AM41" s="83"/>
    </row>
    <row r="42" spans="1:39" s="78" customFormat="1" x14ac:dyDescent="0.25">
      <c r="A42" s="76" t="s">
        <v>587</v>
      </c>
      <c r="B42" s="76" t="s">
        <v>817</v>
      </c>
      <c r="C42" s="76">
        <v>16</v>
      </c>
      <c r="D42" s="76" t="s">
        <v>589</v>
      </c>
      <c r="E42" s="77">
        <v>45190</v>
      </c>
      <c r="F42" s="76" t="s">
        <v>590</v>
      </c>
      <c r="G42" s="76"/>
      <c r="H42" s="76"/>
      <c r="I42" s="76"/>
      <c r="J42" s="76" t="s">
        <v>592</v>
      </c>
      <c r="K42" s="76" t="s">
        <v>593</v>
      </c>
      <c r="L42" s="76" t="s">
        <v>818</v>
      </c>
      <c r="M42" s="76" t="s">
        <v>677</v>
      </c>
      <c r="N42" s="76" t="s">
        <v>617</v>
      </c>
      <c r="O42" s="76" t="s">
        <v>819</v>
      </c>
      <c r="P42" s="76" t="s">
        <v>820</v>
      </c>
      <c r="Q42" s="76" t="s">
        <v>611</v>
      </c>
      <c r="R42" s="76"/>
      <c r="S42" s="76"/>
      <c r="T42" s="77">
        <v>41932</v>
      </c>
      <c r="U42" s="76" t="s">
        <v>601</v>
      </c>
      <c r="V42" s="76" t="s">
        <v>602</v>
      </c>
      <c r="W42" s="76" t="s">
        <v>601</v>
      </c>
      <c r="X42" s="76" t="s">
        <v>380</v>
      </c>
      <c r="Y42" s="76" t="s">
        <v>612</v>
      </c>
      <c r="Z42" s="76" t="s">
        <v>637</v>
      </c>
      <c r="AA42" s="76"/>
      <c r="AB42" s="76"/>
      <c r="AC42" s="76" t="s">
        <v>613</v>
      </c>
      <c r="AD42" s="82" t="s">
        <v>614</v>
      </c>
      <c r="AE42" s="83"/>
      <c r="AF42" s="83"/>
      <c r="AG42" s="83"/>
      <c r="AH42" s="83"/>
      <c r="AI42" s="83"/>
      <c r="AJ42" s="83"/>
      <c r="AK42" s="83"/>
      <c r="AL42" s="83"/>
      <c r="AM42" s="83"/>
    </row>
    <row r="43" spans="1:39" s="78" customFormat="1" x14ac:dyDescent="0.25">
      <c r="A43" s="76" t="s">
        <v>587</v>
      </c>
      <c r="B43" s="76" t="s">
        <v>821</v>
      </c>
      <c r="C43" s="76">
        <v>160</v>
      </c>
      <c r="D43" s="76" t="s">
        <v>589</v>
      </c>
      <c r="E43" s="77">
        <v>45166</v>
      </c>
      <c r="F43" s="76" t="s">
        <v>590</v>
      </c>
      <c r="G43" s="76"/>
      <c r="H43" s="76"/>
      <c r="I43" s="76"/>
      <c r="J43" s="76" t="s">
        <v>592</v>
      </c>
      <c r="K43" s="76" t="s">
        <v>593</v>
      </c>
      <c r="L43" s="76" t="s">
        <v>822</v>
      </c>
      <c r="M43" s="76" t="s">
        <v>741</v>
      </c>
      <c r="N43" s="76" t="s">
        <v>823</v>
      </c>
      <c r="O43" s="76" t="s">
        <v>158</v>
      </c>
      <c r="P43" s="76" t="s">
        <v>824</v>
      </c>
      <c r="Q43" s="76" t="s">
        <v>825</v>
      </c>
      <c r="R43" s="76" t="s">
        <v>826</v>
      </c>
      <c r="S43" s="76" t="s">
        <v>827</v>
      </c>
      <c r="T43" s="77">
        <v>42160</v>
      </c>
      <c r="U43" s="76" t="s">
        <v>828</v>
      </c>
      <c r="V43" s="76" t="s">
        <v>829</v>
      </c>
      <c r="W43" s="76" t="s">
        <v>830</v>
      </c>
      <c r="X43" s="76" t="s">
        <v>380</v>
      </c>
      <c r="Y43" s="76" t="s">
        <v>704</v>
      </c>
      <c r="Z43" s="76" t="s">
        <v>631</v>
      </c>
      <c r="AA43" s="76"/>
      <c r="AB43" s="76"/>
      <c r="AC43" s="76" t="s">
        <v>613</v>
      </c>
      <c r="AD43" s="82" t="s">
        <v>606</v>
      </c>
      <c r="AE43" s="83"/>
      <c r="AF43" s="83"/>
      <c r="AG43" s="83"/>
      <c r="AH43" s="83"/>
      <c r="AI43" s="83"/>
      <c r="AJ43" s="83"/>
      <c r="AK43" s="83"/>
      <c r="AL43" s="83"/>
      <c r="AM43" s="83"/>
    </row>
    <row r="44" spans="1:39" s="78" customFormat="1" x14ac:dyDescent="0.25">
      <c r="A44" s="76" t="s">
        <v>587</v>
      </c>
      <c r="B44" s="76" t="s">
        <v>831</v>
      </c>
      <c r="C44" s="76">
        <v>11</v>
      </c>
      <c r="D44" s="76" t="s">
        <v>589</v>
      </c>
      <c r="E44" s="77">
        <v>45190</v>
      </c>
      <c r="F44" s="76" t="s">
        <v>590</v>
      </c>
      <c r="G44" s="76"/>
      <c r="H44" s="76"/>
      <c r="I44" s="76"/>
      <c r="J44" s="76" t="s">
        <v>665</v>
      </c>
      <c r="K44" s="76" t="s">
        <v>593</v>
      </c>
      <c r="L44" s="76" t="s">
        <v>832</v>
      </c>
      <c r="M44" s="76" t="s">
        <v>833</v>
      </c>
      <c r="N44" s="76" t="s">
        <v>834</v>
      </c>
      <c r="O44" s="76"/>
      <c r="P44" s="76" t="s">
        <v>835</v>
      </c>
      <c r="Q44" s="76" t="s">
        <v>833</v>
      </c>
      <c r="R44" s="76" t="s">
        <v>836</v>
      </c>
      <c r="S44" s="76"/>
      <c r="T44" s="77">
        <v>42060</v>
      </c>
      <c r="U44" s="76" t="s">
        <v>602</v>
      </c>
      <c r="V44" s="76" t="s">
        <v>602</v>
      </c>
      <c r="W44" s="76" t="s">
        <v>601</v>
      </c>
      <c r="X44" s="76" t="s">
        <v>380</v>
      </c>
      <c r="Y44" s="76" t="s">
        <v>671</v>
      </c>
      <c r="Z44" s="76" t="s">
        <v>672</v>
      </c>
      <c r="AA44" s="76"/>
      <c r="AB44" s="76"/>
      <c r="AC44" s="76" t="s">
        <v>613</v>
      </c>
      <c r="AD44" s="82" t="s">
        <v>606</v>
      </c>
      <c r="AE44" s="83"/>
      <c r="AF44" s="83"/>
      <c r="AG44" s="83"/>
      <c r="AH44" s="83"/>
      <c r="AI44" s="83"/>
      <c r="AJ44" s="83"/>
      <c r="AK44" s="83"/>
      <c r="AL44" s="83"/>
      <c r="AM44" s="83"/>
    </row>
    <row r="45" spans="1:39" s="78" customFormat="1" x14ac:dyDescent="0.25">
      <c r="A45" s="76" t="s">
        <v>587</v>
      </c>
      <c r="B45" s="76" t="s">
        <v>837</v>
      </c>
      <c r="C45" s="76">
        <v>155</v>
      </c>
      <c r="D45" s="76" t="s">
        <v>589</v>
      </c>
      <c r="E45" s="77">
        <v>45896</v>
      </c>
      <c r="F45" s="76" t="s">
        <v>590</v>
      </c>
      <c r="G45" s="76"/>
      <c r="H45" s="76"/>
      <c r="I45" s="76"/>
      <c r="J45" s="76" t="s">
        <v>592</v>
      </c>
      <c r="K45" s="76" t="s">
        <v>593</v>
      </c>
      <c r="L45" s="76" t="s">
        <v>639</v>
      </c>
      <c r="M45" s="76" t="s">
        <v>645</v>
      </c>
      <c r="N45" s="76" t="s">
        <v>838</v>
      </c>
      <c r="O45" s="76" t="s">
        <v>92</v>
      </c>
      <c r="P45" s="76" t="s">
        <v>839</v>
      </c>
      <c r="Q45" s="76" t="s">
        <v>840</v>
      </c>
      <c r="R45" s="76" t="s">
        <v>838</v>
      </c>
      <c r="S45" s="76" t="s">
        <v>841</v>
      </c>
      <c r="T45" s="77">
        <v>42860</v>
      </c>
      <c r="U45" s="76" t="s">
        <v>601</v>
      </c>
      <c r="V45" s="76" t="s">
        <v>602</v>
      </c>
      <c r="W45" s="76" t="s">
        <v>620</v>
      </c>
      <c r="X45" s="76" t="s">
        <v>379</v>
      </c>
      <c r="Y45" s="76" t="s">
        <v>630</v>
      </c>
      <c r="Z45" s="76" t="s">
        <v>774</v>
      </c>
      <c r="AA45" s="76"/>
      <c r="AB45" s="76"/>
      <c r="AC45" s="76" t="s">
        <v>632</v>
      </c>
      <c r="AD45" s="82" t="s">
        <v>606</v>
      </c>
      <c r="AE45" s="83"/>
      <c r="AF45" s="83"/>
      <c r="AG45" s="83"/>
      <c r="AH45" s="83"/>
      <c r="AI45" s="83"/>
      <c r="AJ45" s="83"/>
      <c r="AK45" s="83"/>
      <c r="AL45" s="83"/>
      <c r="AM45" s="83"/>
    </row>
    <row r="46" spans="1:39" s="78" customFormat="1" x14ac:dyDescent="0.25">
      <c r="A46" s="76" t="s">
        <v>587</v>
      </c>
      <c r="B46" s="76" t="s">
        <v>842</v>
      </c>
      <c r="C46" s="76">
        <v>151</v>
      </c>
      <c r="D46" s="76" t="s">
        <v>589</v>
      </c>
      <c r="E46" s="77">
        <v>45894</v>
      </c>
      <c r="F46" s="76" t="s">
        <v>590</v>
      </c>
      <c r="G46" s="76"/>
      <c r="H46" s="76"/>
      <c r="I46" s="76"/>
      <c r="J46" s="76" t="s">
        <v>592</v>
      </c>
      <c r="K46" s="76" t="s">
        <v>593</v>
      </c>
      <c r="L46" s="76" t="s">
        <v>717</v>
      </c>
      <c r="M46" s="76" t="s">
        <v>63</v>
      </c>
      <c r="N46" s="76" t="s">
        <v>843</v>
      </c>
      <c r="O46" s="76" t="s">
        <v>237</v>
      </c>
      <c r="P46" s="76" t="s">
        <v>844</v>
      </c>
      <c r="Q46" s="76" t="s">
        <v>63</v>
      </c>
      <c r="R46" s="76" t="s">
        <v>845</v>
      </c>
      <c r="S46" s="76" t="s">
        <v>237</v>
      </c>
      <c r="T46" s="77">
        <v>43276</v>
      </c>
      <c r="U46" s="76" t="s">
        <v>620</v>
      </c>
      <c r="V46" s="76" t="s">
        <v>602</v>
      </c>
      <c r="W46" s="76" t="s">
        <v>601</v>
      </c>
      <c r="X46" s="76" t="s">
        <v>380</v>
      </c>
      <c r="Y46" s="76" t="s">
        <v>725</v>
      </c>
      <c r="Z46" s="76" t="s">
        <v>748</v>
      </c>
      <c r="AA46" s="76"/>
      <c r="AB46" s="76"/>
      <c r="AC46" s="76" t="s">
        <v>726</v>
      </c>
      <c r="AD46" s="82" t="s">
        <v>606</v>
      </c>
      <c r="AE46" s="83"/>
      <c r="AF46" s="83"/>
      <c r="AG46" s="83"/>
      <c r="AH46" s="83"/>
      <c r="AI46" s="83"/>
      <c r="AJ46" s="83"/>
      <c r="AK46" s="83"/>
      <c r="AL46" s="83"/>
      <c r="AM46" s="83"/>
    </row>
    <row r="47" spans="1:39" s="78" customFormat="1" x14ac:dyDescent="0.25">
      <c r="A47" s="76" t="s">
        <v>587</v>
      </c>
      <c r="B47" s="76" t="s">
        <v>846</v>
      </c>
      <c r="C47" s="76">
        <v>72</v>
      </c>
      <c r="D47" s="76" t="s">
        <v>589</v>
      </c>
      <c r="E47" s="77">
        <v>45198</v>
      </c>
      <c r="F47" s="76" t="s">
        <v>590</v>
      </c>
      <c r="G47" s="76"/>
      <c r="H47" s="76"/>
      <c r="I47" s="76"/>
      <c r="J47" s="76" t="s">
        <v>592</v>
      </c>
      <c r="K47" s="76" t="s">
        <v>593</v>
      </c>
      <c r="L47" s="76" t="s">
        <v>847</v>
      </c>
      <c r="M47" s="76" t="s">
        <v>595</v>
      </c>
      <c r="N47" s="76" t="s">
        <v>848</v>
      </c>
      <c r="O47" s="76" t="s">
        <v>597</v>
      </c>
      <c r="P47" s="76" t="s">
        <v>849</v>
      </c>
      <c r="Q47" s="76" t="s">
        <v>611</v>
      </c>
      <c r="R47" s="76"/>
      <c r="S47" s="76"/>
      <c r="T47" s="77">
        <v>42655</v>
      </c>
      <c r="U47" s="76" t="s">
        <v>850</v>
      </c>
      <c r="V47" s="76" t="s">
        <v>602</v>
      </c>
      <c r="W47" s="76" t="s">
        <v>601</v>
      </c>
      <c r="X47" s="76" t="s">
        <v>380</v>
      </c>
      <c r="Y47" s="76" t="s">
        <v>642</v>
      </c>
      <c r="Z47" s="76" t="s">
        <v>687</v>
      </c>
      <c r="AA47" s="76"/>
      <c r="AB47" s="76"/>
      <c r="AC47" s="76" t="s">
        <v>623</v>
      </c>
      <c r="AD47" s="82" t="s">
        <v>606</v>
      </c>
      <c r="AE47" s="83"/>
      <c r="AF47" s="83"/>
      <c r="AG47" s="83"/>
      <c r="AH47" s="83"/>
      <c r="AI47" s="83"/>
      <c r="AJ47" s="83"/>
      <c r="AK47" s="83"/>
      <c r="AL47" s="83"/>
      <c r="AM47" s="83"/>
    </row>
    <row r="48" spans="1:39" s="78" customFormat="1" x14ac:dyDescent="0.25">
      <c r="A48" s="76" t="s">
        <v>587</v>
      </c>
      <c r="B48" s="76" t="s">
        <v>851</v>
      </c>
      <c r="C48" s="76">
        <v>94</v>
      </c>
      <c r="D48" s="76" t="s">
        <v>589</v>
      </c>
      <c r="E48" s="77">
        <v>45520</v>
      </c>
      <c r="F48" s="76" t="s">
        <v>590</v>
      </c>
      <c r="G48" s="76"/>
      <c r="H48" s="76"/>
      <c r="I48" s="76" t="s">
        <v>654</v>
      </c>
      <c r="J48" s="76" t="s">
        <v>592</v>
      </c>
      <c r="K48" s="76" t="s">
        <v>593</v>
      </c>
      <c r="L48" s="76" t="s">
        <v>716</v>
      </c>
      <c r="M48" s="76" t="s">
        <v>63</v>
      </c>
      <c r="N48" s="76" t="s">
        <v>648</v>
      </c>
      <c r="O48" s="76" t="s">
        <v>237</v>
      </c>
      <c r="P48" s="76" t="s">
        <v>852</v>
      </c>
      <c r="Q48" s="76" t="s">
        <v>611</v>
      </c>
      <c r="R48" s="76"/>
      <c r="S48" s="76" t="s">
        <v>619</v>
      </c>
      <c r="T48" s="77">
        <v>42198</v>
      </c>
      <c r="U48" s="76"/>
      <c r="V48" s="76" t="s">
        <v>602</v>
      </c>
      <c r="W48" s="76" t="s">
        <v>601</v>
      </c>
      <c r="X48" s="76" t="s">
        <v>380</v>
      </c>
      <c r="Y48" s="76" t="s">
        <v>784</v>
      </c>
      <c r="Z48" s="76" t="s">
        <v>853</v>
      </c>
      <c r="AA48" s="76"/>
      <c r="AB48" s="76"/>
      <c r="AC48" s="76" t="s">
        <v>623</v>
      </c>
      <c r="AD48" s="82" t="s">
        <v>606</v>
      </c>
      <c r="AE48" s="83"/>
      <c r="AF48" s="83"/>
      <c r="AG48" s="83"/>
      <c r="AH48" s="83"/>
      <c r="AI48" s="83"/>
      <c r="AJ48" s="83"/>
      <c r="AK48" s="83"/>
      <c r="AL48" s="83"/>
      <c r="AM48" s="83"/>
    </row>
    <row r="49" spans="1:39" s="78" customFormat="1" x14ac:dyDescent="0.25">
      <c r="A49" s="76" t="s">
        <v>587</v>
      </c>
      <c r="B49" s="76" t="s">
        <v>854</v>
      </c>
      <c r="C49" s="76">
        <v>64</v>
      </c>
      <c r="D49" s="76" t="s">
        <v>589</v>
      </c>
      <c r="E49" s="77">
        <v>45197</v>
      </c>
      <c r="F49" s="76" t="s">
        <v>590</v>
      </c>
      <c r="G49" s="76"/>
      <c r="H49" s="76"/>
      <c r="I49" s="76"/>
      <c r="J49" s="76" t="s">
        <v>592</v>
      </c>
      <c r="K49" s="76" t="s">
        <v>593</v>
      </c>
      <c r="L49" s="76" t="s">
        <v>608</v>
      </c>
      <c r="M49" s="76" t="s">
        <v>617</v>
      </c>
      <c r="N49" s="76" t="s">
        <v>617</v>
      </c>
      <c r="O49" s="76" t="s">
        <v>640</v>
      </c>
      <c r="P49" s="76" t="s">
        <v>855</v>
      </c>
      <c r="Q49" s="76" t="s">
        <v>611</v>
      </c>
      <c r="R49" s="76"/>
      <c r="S49" s="76"/>
      <c r="T49" s="77">
        <v>41782</v>
      </c>
      <c r="U49" s="76" t="s">
        <v>856</v>
      </c>
      <c r="V49" s="76" t="s">
        <v>602</v>
      </c>
      <c r="W49" s="76" t="s">
        <v>601</v>
      </c>
      <c r="X49" s="76" t="s">
        <v>380</v>
      </c>
      <c r="Y49" s="76" t="s">
        <v>696</v>
      </c>
      <c r="Z49" s="76"/>
      <c r="AA49" s="76"/>
      <c r="AB49" s="76"/>
      <c r="AC49" s="76" t="s">
        <v>613</v>
      </c>
      <c r="AD49" s="82" t="s">
        <v>663</v>
      </c>
      <c r="AE49" s="83"/>
      <c r="AF49" s="83"/>
      <c r="AG49" s="83"/>
      <c r="AH49" s="83"/>
      <c r="AI49" s="83"/>
      <c r="AJ49" s="83"/>
      <c r="AK49" s="83"/>
      <c r="AL49" s="83"/>
      <c r="AM49" s="83"/>
    </row>
    <row r="50" spans="1:39" s="78" customFormat="1" x14ac:dyDescent="0.25">
      <c r="A50" s="76" t="s">
        <v>587</v>
      </c>
      <c r="B50" s="76" t="s">
        <v>857</v>
      </c>
      <c r="C50" s="76">
        <v>154</v>
      </c>
      <c r="D50" s="76" t="s">
        <v>589</v>
      </c>
      <c r="E50" s="77">
        <v>45895</v>
      </c>
      <c r="F50" s="76" t="s">
        <v>590</v>
      </c>
      <c r="G50" s="76"/>
      <c r="H50" s="76"/>
      <c r="I50" s="76"/>
      <c r="J50" s="76" t="s">
        <v>592</v>
      </c>
      <c r="K50" s="76" t="s">
        <v>593</v>
      </c>
      <c r="L50" s="76" t="s">
        <v>858</v>
      </c>
      <c r="M50" s="76" t="s">
        <v>859</v>
      </c>
      <c r="N50" s="76"/>
      <c r="O50" s="76" t="s">
        <v>860</v>
      </c>
      <c r="P50" s="76" t="s">
        <v>861</v>
      </c>
      <c r="Q50" s="76" t="s">
        <v>645</v>
      </c>
      <c r="R50" s="76" t="s">
        <v>862</v>
      </c>
      <c r="S50" s="76" t="s">
        <v>60</v>
      </c>
      <c r="T50" s="77">
        <v>42394</v>
      </c>
      <c r="U50" s="76" t="s">
        <v>601</v>
      </c>
      <c r="V50" s="76" t="s">
        <v>602</v>
      </c>
      <c r="W50" s="76" t="s">
        <v>601</v>
      </c>
      <c r="X50" s="76" t="s">
        <v>380</v>
      </c>
      <c r="Y50" s="76" t="s">
        <v>621</v>
      </c>
      <c r="Z50" s="76" t="s">
        <v>622</v>
      </c>
      <c r="AA50" s="76"/>
      <c r="AB50" s="76"/>
      <c r="AC50" s="76" t="s">
        <v>623</v>
      </c>
      <c r="AD50" s="82" t="s">
        <v>606</v>
      </c>
      <c r="AE50" s="83"/>
      <c r="AF50" s="83"/>
      <c r="AG50" s="83"/>
      <c r="AH50" s="83"/>
      <c r="AI50" s="83"/>
      <c r="AJ50" s="83"/>
      <c r="AK50" s="83"/>
      <c r="AL50" s="83"/>
      <c r="AM50" s="83"/>
    </row>
    <row r="51" spans="1:39" s="78" customFormat="1" x14ac:dyDescent="0.25">
      <c r="A51" s="76" t="s">
        <v>587</v>
      </c>
      <c r="B51" s="76" t="s">
        <v>863</v>
      </c>
      <c r="C51" s="76">
        <v>158</v>
      </c>
      <c r="D51" s="76" t="s">
        <v>589</v>
      </c>
      <c r="E51" s="77">
        <v>45191</v>
      </c>
      <c r="F51" s="76" t="s">
        <v>590</v>
      </c>
      <c r="G51" s="76"/>
      <c r="H51" s="76"/>
      <c r="I51" s="76"/>
      <c r="J51" s="76" t="s">
        <v>592</v>
      </c>
      <c r="K51" s="76" t="s">
        <v>593</v>
      </c>
      <c r="L51" s="76" t="s">
        <v>864</v>
      </c>
      <c r="M51" s="76" t="s">
        <v>63</v>
      </c>
      <c r="N51" s="76" t="s">
        <v>865</v>
      </c>
      <c r="O51" s="76" t="s">
        <v>63</v>
      </c>
      <c r="P51" s="76" t="s">
        <v>724</v>
      </c>
      <c r="Q51" s="76" t="s">
        <v>63</v>
      </c>
      <c r="R51" s="76" t="s">
        <v>866</v>
      </c>
      <c r="S51" s="76" t="s">
        <v>63</v>
      </c>
      <c r="T51" s="77">
        <v>41593</v>
      </c>
      <c r="U51" s="76" t="s">
        <v>601</v>
      </c>
      <c r="V51" s="76" t="s">
        <v>602</v>
      </c>
      <c r="W51" s="76" t="s">
        <v>601</v>
      </c>
      <c r="X51" s="76" t="s">
        <v>380</v>
      </c>
      <c r="Y51" s="76" t="s">
        <v>603</v>
      </c>
      <c r="Z51" s="76" t="s">
        <v>604</v>
      </c>
      <c r="AA51" s="76" t="s">
        <v>682</v>
      </c>
      <c r="AB51" s="76"/>
      <c r="AC51" s="76" t="s">
        <v>605</v>
      </c>
      <c r="AD51" s="82" t="s">
        <v>606</v>
      </c>
      <c r="AE51" s="83"/>
      <c r="AF51" s="83"/>
      <c r="AG51" s="83"/>
      <c r="AH51" s="83"/>
      <c r="AI51" s="83"/>
      <c r="AJ51" s="83"/>
      <c r="AK51" s="83"/>
      <c r="AL51" s="83"/>
      <c r="AM51" s="83"/>
    </row>
    <row r="52" spans="1:39" s="78" customFormat="1" x14ac:dyDescent="0.25">
      <c r="A52" s="76" t="s">
        <v>587</v>
      </c>
      <c r="B52" s="76" t="s">
        <v>867</v>
      </c>
      <c r="C52" s="76">
        <v>89</v>
      </c>
      <c r="D52" s="76" t="s">
        <v>589</v>
      </c>
      <c r="E52" s="77">
        <v>45518</v>
      </c>
      <c r="F52" s="76" t="s">
        <v>590</v>
      </c>
      <c r="G52" s="76"/>
      <c r="H52" s="76"/>
      <c r="I52" s="76" t="s">
        <v>654</v>
      </c>
      <c r="J52" s="76" t="s">
        <v>665</v>
      </c>
      <c r="K52" s="76" t="s">
        <v>593</v>
      </c>
      <c r="L52" s="76" t="s">
        <v>694</v>
      </c>
      <c r="M52" s="76" t="s">
        <v>595</v>
      </c>
      <c r="N52" s="76"/>
      <c r="O52" s="76" t="s">
        <v>281</v>
      </c>
      <c r="P52" s="76" t="s">
        <v>747</v>
      </c>
      <c r="Q52" s="76" t="s">
        <v>611</v>
      </c>
      <c r="R52" s="76"/>
      <c r="S52" s="76" t="s">
        <v>619</v>
      </c>
      <c r="T52" s="77">
        <v>42571</v>
      </c>
      <c r="U52" s="76"/>
      <c r="V52" s="76" t="s">
        <v>602</v>
      </c>
      <c r="W52" s="76" t="s">
        <v>601</v>
      </c>
      <c r="X52" s="76" t="s">
        <v>380</v>
      </c>
      <c r="Y52" s="76" t="s">
        <v>784</v>
      </c>
      <c r="Z52" s="76" t="s">
        <v>853</v>
      </c>
      <c r="AA52" s="76"/>
      <c r="AB52" s="76"/>
      <c r="AC52" s="76" t="s">
        <v>623</v>
      </c>
      <c r="AD52" s="82" t="s">
        <v>606</v>
      </c>
      <c r="AE52" s="83"/>
      <c r="AF52" s="83"/>
      <c r="AG52" s="83"/>
      <c r="AH52" s="83"/>
      <c r="AI52" s="83"/>
      <c r="AJ52" s="83"/>
      <c r="AK52" s="83"/>
      <c r="AL52" s="83"/>
      <c r="AM52" s="83"/>
    </row>
    <row r="53" spans="1:39" s="78" customFormat="1" x14ac:dyDescent="0.25">
      <c r="A53" s="76" t="s">
        <v>587</v>
      </c>
      <c r="B53" s="76" t="s">
        <v>868</v>
      </c>
      <c r="C53" s="76">
        <v>25</v>
      </c>
      <c r="D53" s="76" t="s">
        <v>589</v>
      </c>
      <c r="E53" s="77">
        <v>45191</v>
      </c>
      <c r="F53" s="76" t="s">
        <v>590</v>
      </c>
      <c r="G53" s="76"/>
      <c r="H53" s="76"/>
      <c r="I53" s="76"/>
      <c r="J53" s="76" t="s">
        <v>665</v>
      </c>
      <c r="K53" s="76" t="s">
        <v>593</v>
      </c>
      <c r="L53" s="76" t="s">
        <v>869</v>
      </c>
      <c r="M53" s="76" t="s">
        <v>870</v>
      </c>
      <c r="N53" s="76"/>
      <c r="O53" s="76"/>
      <c r="P53" s="76" t="s">
        <v>871</v>
      </c>
      <c r="Q53" s="76" t="s">
        <v>611</v>
      </c>
      <c r="R53" s="76"/>
      <c r="S53" s="76"/>
      <c r="T53" s="77">
        <v>42303</v>
      </c>
      <c r="U53" s="76" t="s">
        <v>601</v>
      </c>
      <c r="V53" s="76" t="s">
        <v>602</v>
      </c>
      <c r="W53" s="76" t="s">
        <v>601</v>
      </c>
      <c r="X53" s="76" t="s">
        <v>380</v>
      </c>
      <c r="Y53" s="76" t="s">
        <v>612</v>
      </c>
      <c r="Z53" s="76" t="s">
        <v>681</v>
      </c>
      <c r="AA53" s="76"/>
      <c r="AB53" s="76"/>
      <c r="AC53" s="76" t="s">
        <v>613</v>
      </c>
      <c r="AD53" s="82" t="s">
        <v>606</v>
      </c>
      <c r="AE53" s="83"/>
      <c r="AF53" s="83"/>
      <c r="AG53" s="83"/>
      <c r="AH53" s="83"/>
      <c r="AI53" s="83"/>
      <c r="AJ53" s="83"/>
      <c r="AK53" s="83"/>
      <c r="AL53" s="83"/>
      <c r="AM53" s="83"/>
    </row>
    <row r="54" spans="1:39" s="78" customFormat="1" x14ac:dyDescent="0.25">
      <c r="A54" s="76" t="s">
        <v>587</v>
      </c>
      <c r="B54" s="76" t="s">
        <v>872</v>
      </c>
      <c r="C54" s="76">
        <v>68</v>
      </c>
      <c r="D54" s="76" t="s">
        <v>589</v>
      </c>
      <c r="E54" s="77">
        <v>45198</v>
      </c>
      <c r="F54" s="76" t="s">
        <v>590</v>
      </c>
      <c r="G54" s="76"/>
      <c r="H54" s="76"/>
      <c r="I54" s="76"/>
      <c r="J54" s="76" t="s">
        <v>592</v>
      </c>
      <c r="K54" s="76" t="s">
        <v>593</v>
      </c>
      <c r="L54" s="76" t="s">
        <v>873</v>
      </c>
      <c r="M54" s="76" t="s">
        <v>617</v>
      </c>
      <c r="N54" s="76" t="s">
        <v>617</v>
      </c>
      <c r="O54" s="76" t="s">
        <v>640</v>
      </c>
      <c r="P54" s="76" t="s">
        <v>874</v>
      </c>
      <c r="Q54" s="76" t="s">
        <v>611</v>
      </c>
      <c r="R54" s="76"/>
      <c r="S54" s="76"/>
      <c r="T54" s="77">
        <v>41996</v>
      </c>
      <c r="U54" s="76" t="s">
        <v>875</v>
      </c>
      <c r="V54" s="76" t="s">
        <v>602</v>
      </c>
      <c r="W54" s="76" t="s">
        <v>601</v>
      </c>
      <c r="X54" s="76" t="s">
        <v>380</v>
      </c>
      <c r="Y54" s="76" t="s">
        <v>671</v>
      </c>
      <c r="Z54" s="76" t="s">
        <v>631</v>
      </c>
      <c r="AA54" s="76"/>
      <c r="AB54" s="76"/>
      <c r="AC54" s="76" t="s">
        <v>876</v>
      </c>
      <c r="AD54" s="82"/>
      <c r="AE54" s="83"/>
      <c r="AF54" s="83"/>
      <c r="AG54" s="83"/>
      <c r="AH54" s="83"/>
      <c r="AI54" s="83"/>
      <c r="AJ54" s="83"/>
      <c r="AK54" s="83"/>
      <c r="AL54" s="83"/>
      <c r="AM54" s="83"/>
    </row>
    <row r="55" spans="1:39" s="78" customFormat="1" x14ac:dyDescent="0.25">
      <c r="A55" s="76" t="s">
        <v>587</v>
      </c>
      <c r="B55" s="76" t="s">
        <v>877</v>
      </c>
      <c r="C55" s="76">
        <v>50</v>
      </c>
      <c r="D55" s="76" t="s">
        <v>589</v>
      </c>
      <c r="E55" s="77">
        <v>45195</v>
      </c>
      <c r="F55" s="76" t="s">
        <v>590</v>
      </c>
      <c r="G55" s="76"/>
      <c r="H55" s="76"/>
      <c r="I55" s="76" t="s">
        <v>591</v>
      </c>
      <c r="J55" s="76" t="s">
        <v>665</v>
      </c>
      <c r="K55" s="76" t="s">
        <v>593</v>
      </c>
      <c r="L55" s="76" t="s">
        <v>878</v>
      </c>
      <c r="M55" s="76"/>
      <c r="N55" s="76" t="s">
        <v>879</v>
      </c>
      <c r="O55" s="76" t="s">
        <v>880</v>
      </c>
      <c r="P55" s="76" t="s">
        <v>881</v>
      </c>
      <c r="Q55" s="76" t="s">
        <v>63</v>
      </c>
      <c r="R55" s="76" t="s">
        <v>882</v>
      </c>
      <c r="S55" s="76" t="s">
        <v>883</v>
      </c>
      <c r="T55" s="77">
        <v>41552</v>
      </c>
      <c r="U55" s="76" t="s">
        <v>620</v>
      </c>
      <c r="V55" s="76" t="s">
        <v>602</v>
      </c>
      <c r="W55" s="76" t="s">
        <v>601</v>
      </c>
      <c r="X55" s="76" t="s">
        <v>380</v>
      </c>
      <c r="Y55" s="76" t="s">
        <v>680</v>
      </c>
      <c r="Z55" s="76" t="s">
        <v>681</v>
      </c>
      <c r="AA55" s="76" t="s">
        <v>682</v>
      </c>
      <c r="AB55" s="76"/>
      <c r="AC55" s="76" t="s">
        <v>605</v>
      </c>
      <c r="AD55" s="82" t="s">
        <v>606</v>
      </c>
      <c r="AE55" s="83"/>
      <c r="AF55" s="83"/>
      <c r="AG55" s="83"/>
      <c r="AH55" s="83"/>
      <c r="AI55" s="83"/>
      <c r="AJ55" s="83"/>
      <c r="AK55" s="83"/>
      <c r="AL55" s="83"/>
      <c r="AM55" s="83"/>
    </row>
    <row r="56" spans="1:39" s="78" customFormat="1" x14ac:dyDescent="0.25">
      <c r="A56" s="76" t="s">
        <v>587</v>
      </c>
      <c r="B56" s="76" t="s">
        <v>884</v>
      </c>
      <c r="C56" s="76">
        <v>113</v>
      </c>
      <c r="D56" s="76" t="s">
        <v>589</v>
      </c>
      <c r="E56" s="77">
        <v>45527</v>
      </c>
      <c r="F56" s="76" t="s">
        <v>590</v>
      </c>
      <c r="G56" s="76"/>
      <c r="H56" s="76"/>
      <c r="I56" s="76" t="s">
        <v>654</v>
      </c>
      <c r="J56" s="76" t="s">
        <v>665</v>
      </c>
      <c r="K56" s="76" t="s">
        <v>593</v>
      </c>
      <c r="L56" s="76" t="s">
        <v>509</v>
      </c>
      <c r="M56" s="76" t="s">
        <v>677</v>
      </c>
      <c r="N56" s="76" t="s">
        <v>555</v>
      </c>
      <c r="O56" s="76" t="s">
        <v>885</v>
      </c>
      <c r="P56" s="76" t="s">
        <v>510</v>
      </c>
      <c r="Q56" s="76" t="s">
        <v>611</v>
      </c>
      <c r="R56" s="76"/>
      <c r="S56" s="76" t="s">
        <v>619</v>
      </c>
      <c r="T56" s="77">
        <v>42712</v>
      </c>
      <c r="U56" s="76" t="s">
        <v>620</v>
      </c>
      <c r="V56" s="76" t="s">
        <v>602</v>
      </c>
      <c r="W56" s="76" t="s">
        <v>601</v>
      </c>
      <c r="X56" s="76" t="s">
        <v>379</v>
      </c>
      <c r="Y56" s="76" t="s">
        <v>784</v>
      </c>
      <c r="Z56" s="76" t="s">
        <v>853</v>
      </c>
      <c r="AA56" s="76"/>
      <c r="AB56" s="76"/>
      <c r="AC56" s="76" t="s">
        <v>623</v>
      </c>
      <c r="AD56" s="82" t="s">
        <v>614</v>
      </c>
      <c r="AE56" s="83"/>
      <c r="AF56" s="83"/>
      <c r="AG56" s="83"/>
      <c r="AH56" s="83"/>
      <c r="AI56" s="83"/>
      <c r="AJ56" s="83"/>
      <c r="AK56" s="83"/>
      <c r="AL56" s="83"/>
      <c r="AM56" s="83"/>
    </row>
    <row r="57" spans="1:39" s="78" customFormat="1" x14ac:dyDescent="0.25">
      <c r="A57" s="76" t="s">
        <v>587</v>
      </c>
      <c r="B57" s="76" t="s">
        <v>886</v>
      </c>
      <c r="C57" s="76">
        <v>71</v>
      </c>
      <c r="D57" s="76" t="s">
        <v>589</v>
      </c>
      <c r="E57" s="77">
        <v>45198</v>
      </c>
      <c r="F57" s="76" t="s">
        <v>590</v>
      </c>
      <c r="G57" s="76"/>
      <c r="H57" s="76"/>
      <c r="I57" s="76" t="s">
        <v>591</v>
      </c>
      <c r="J57" s="76" t="s">
        <v>665</v>
      </c>
      <c r="K57" s="76" t="s">
        <v>593</v>
      </c>
      <c r="L57" s="76" t="s">
        <v>887</v>
      </c>
      <c r="M57" s="76"/>
      <c r="N57" s="76"/>
      <c r="O57" s="76"/>
      <c r="P57" s="76" t="s">
        <v>813</v>
      </c>
      <c r="Q57" s="76" t="s">
        <v>611</v>
      </c>
      <c r="R57" s="76"/>
      <c r="S57" s="76"/>
      <c r="T57" s="77">
        <v>41642</v>
      </c>
      <c r="U57" s="76" t="s">
        <v>602</v>
      </c>
      <c r="V57" s="76" t="s">
        <v>602</v>
      </c>
      <c r="W57" s="76" t="s">
        <v>601</v>
      </c>
      <c r="X57" s="76" t="s">
        <v>888</v>
      </c>
      <c r="Y57" s="76" t="s">
        <v>603</v>
      </c>
      <c r="Z57" s="76" t="s">
        <v>604</v>
      </c>
      <c r="AA57" s="76" t="s">
        <v>682</v>
      </c>
      <c r="AB57" s="76"/>
      <c r="AC57" s="76" t="s">
        <v>605</v>
      </c>
      <c r="AD57" s="82" t="s">
        <v>614</v>
      </c>
      <c r="AE57" s="83"/>
      <c r="AF57" s="83"/>
      <c r="AG57" s="83"/>
      <c r="AH57" s="83"/>
      <c r="AI57" s="83"/>
      <c r="AJ57" s="83"/>
      <c r="AK57" s="83"/>
      <c r="AL57" s="83"/>
      <c r="AM57" s="83"/>
    </row>
    <row r="58" spans="1:39" s="78" customFormat="1" x14ac:dyDescent="0.25">
      <c r="A58" s="76" t="s">
        <v>587</v>
      </c>
      <c r="B58" s="76" t="s">
        <v>889</v>
      </c>
      <c r="C58" s="76">
        <v>55</v>
      </c>
      <c r="D58" s="76" t="s">
        <v>589</v>
      </c>
      <c r="E58" s="77">
        <v>45195</v>
      </c>
      <c r="F58" s="76" t="s">
        <v>590</v>
      </c>
      <c r="G58" s="76"/>
      <c r="H58" s="76"/>
      <c r="I58" s="76" t="s">
        <v>591</v>
      </c>
      <c r="J58" s="76" t="s">
        <v>592</v>
      </c>
      <c r="K58" s="76" t="s">
        <v>593</v>
      </c>
      <c r="L58" s="76" t="s">
        <v>890</v>
      </c>
      <c r="M58" s="76" t="s">
        <v>891</v>
      </c>
      <c r="N58" s="76" t="s">
        <v>892</v>
      </c>
      <c r="O58" s="76" t="s">
        <v>893</v>
      </c>
      <c r="P58" s="76" t="s">
        <v>647</v>
      </c>
      <c r="Q58" s="76" t="s">
        <v>63</v>
      </c>
      <c r="R58" s="76" t="s">
        <v>894</v>
      </c>
      <c r="S58" s="76" t="s">
        <v>63</v>
      </c>
      <c r="T58" s="77">
        <v>41575</v>
      </c>
      <c r="U58" s="76" t="s">
        <v>602</v>
      </c>
      <c r="V58" s="76" t="s">
        <v>602</v>
      </c>
      <c r="W58" s="76" t="s">
        <v>601</v>
      </c>
      <c r="X58" s="76" t="s">
        <v>380</v>
      </c>
      <c r="Y58" s="76" t="s">
        <v>650</v>
      </c>
      <c r="Z58" s="76" t="s">
        <v>631</v>
      </c>
      <c r="AA58" s="76" t="s">
        <v>652</v>
      </c>
      <c r="AB58" s="76"/>
      <c r="AC58" s="76" t="s">
        <v>605</v>
      </c>
      <c r="AD58" s="82" t="s">
        <v>606</v>
      </c>
      <c r="AE58" s="83"/>
      <c r="AF58" s="83"/>
      <c r="AG58" s="83"/>
      <c r="AH58" s="83"/>
      <c r="AI58" s="83"/>
      <c r="AJ58" s="83"/>
      <c r="AK58" s="83"/>
      <c r="AL58" s="83"/>
      <c r="AM58" s="83"/>
    </row>
    <row r="59" spans="1:39" s="78" customFormat="1" x14ac:dyDescent="0.25">
      <c r="A59" s="76" t="s">
        <v>587</v>
      </c>
      <c r="B59" s="76" t="s">
        <v>895</v>
      </c>
      <c r="C59" s="76">
        <v>52</v>
      </c>
      <c r="D59" s="76" t="s">
        <v>589</v>
      </c>
      <c r="E59" s="77">
        <v>45195</v>
      </c>
      <c r="F59" s="76" t="s">
        <v>590</v>
      </c>
      <c r="G59" s="76"/>
      <c r="H59" s="76"/>
      <c r="I59" s="76" t="s">
        <v>591</v>
      </c>
      <c r="J59" s="76" t="s">
        <v>665</v>
      </c>
      <c r="K59" s="76" t="s">
        <v>593</v>
      </c>
      <c r="L59" s="76" t="s">
        <v>765</v>
      </c>
      <c r="M59" s="76" t="s">
        <v>677</v>
      </c>
      <c r="N59" s="76" t="s">
        <v>617</v>
      </c>
      <c r="O59" s="76" t="s">
        <v>677</v>
      </c>
      <c r="P59" s="76" t="s">
        <v>896</v>
      </c>
      <c r="Q59" s="76" t="s">
        <v>611</v>
      </c>
      <c r="R59" s="76"/>
      <c r="S59" s="76"/>
      <c r="T59" s="77">
        <v>41680</v>
      </c>
      <c r="U59" s="76" t="s">
        <v>620</v>
      </c>
      <c r="V59" s="76" t="s">
        <v>602</v>
      </c>
      <c r="W59" s="76" t="s">
        <v>601</v>
      </c>
      <c r="X59" s="76" t="s">
        <v>380</v>
      </c>
      <c r="Y59" s="76" t="s">
        <v>696</v>
      </c>
      <c r="Z59" s="76"/>
      <c r="AA59" s="76"/>
      <c r="AB59" s="76"/>
      <c r="AC59" s="76" t="s">
        <v>605</v>
      </c>
      <c r="AD59" s="82" t="s">
        <v>663</v>
      </c>
      <c r="AE59" s="83"/>
      <c r="AF59" s="83"/>
      <c r="AG59" s="83"/>
      <c r="AH59" s="83"/>
      <c r="AI59" s="83"/>
      <c r="AJ59" s="83"/>
      <c r="AK59" s="83"/>
      <c r="AL59" s="83"/>
      <c r="AM59" s="83"/>
    </row>
    <row r="60" spans="1:39" s="78" customFormat="1" x14ac:dyDescent="0.25">
      <c r="A60" s="76" t="s">
        <v>587</v>
      </c>
      <c r="B60" s="76" t="s">
        <v>897</v>
      </c>
      <c r="C60" s="76">
        <v>78</v>
      </c>
      <c r="D60" s="76" t="s">
        <v>589</v>
      </c>
      <c r="E60" s="77">
        <v>45516</v>
      </c>
      <c r="F60" s="76" t="s">
        <v>590</v>
      </c>
      <c r="G60" s="76"/>
      <c r="H60" s="76"/>
      <c r="I60" s="76" t="s">
        <v>654</v>
      </c>
      <c r="J60" s="76" t="s">
        <v>592</v>
      </c>
      <c r="K60" s="76" t="s">
        <v>593</v>
      </c>
      <c r="L60" s="76" t="s">
        <v>898</v>
      </c>
      <c r="M60" s="76" t="s">
        <v>595</v>
      </c>
      <c r="N60" s="76"/>
      <c r="O60" s="76"/>
      <c r="P60" s="76" t="s">
        <v>899</v>
      </c>
      <c r="Q60" s="76" t="s">
        <v>645</v>
      </c>
      <c r="R60" s="76" t="s">
        <v>900</v>
      </c>
      <c r="S60" s="76"/>
      <c r="T60" s="77">
        <v>42366</v>
      </c>
      <c r="U60" s="76"/>
      <c r="V60" s="76" t="s">
        <v>602</v>
      </c>
      <c r="W60" s="76" t="s">
        <v>601</v>
      </c>
      <c r="X60" s="76" t="s">
        <v>380</v>
      </c>
      <c r="Y60" s="76" t="s">
        <v>784</v>
      </c>
      <c r="Z60" s="76"/>
      <c r="AA60" s="76"/>
      <c r="AB60" s="76"/>
      <c r="AC60" s="76" t="s">
        <v>623</v>
      </c>
      <c r="AD60" s="82" t="s">
        <v>606</v>
      </c>
      <c r="AE60" s="83"/>
      <c r="AF60" s="83"/>
      <c r="AG60" s="83"/>
      <c r="AH60" s="83"/>
      <c r="AI60" s="83"/>
      <c r="AJ60" s="83"/>
      <c r="AK60" s="83"/>
      <c r="AL60" s="83"/>
      <c r="AM60" s="83"/>
    </row>
    <row r="61" spans="1:39" s="78" customFormat="1" x14ac:dyDescent="0.25">
      <c r="A61" s="76" t="s">
        <v>587</v>
      </c>
      <c r="B61" s="76" t="s">
        <v>901</v>
      </c>
      <c r="C61" s="76">
        <v>109</v>
      </c>
      <c r="D61" s="76" t="s">
        <v>589</v>
      </c>
      <c r="E61" s="77">
        <v>45526</v>
      </c>
      <c r="F61" s="76" t="s">
        <v>590</v>
      </c>
      <c r="G61" s="76" t="s">
        <v>902</v>
      </c>
      <c r="H61" s="76"/>
      <c r="I61" s="76" t="s">
        <v>654</v>
      </c>
      <c r="J61" s="76" t="s">
        <v>665</v>
      </c>
      <c r="K61" s="76" t="s">
        <v>593</v>
      </c>
      <c r="L61" s="76" t="s">
        <v>608</v>
      </c>
      <c r="M61" s="76"/>
      <c r="N61" s="76"/>
      <c r="O61" s="76"/>
      <c r="P61" s="76" t="s">
        <v>855</v>
      </c>
      <c r="Q61" s="76"/>
      <c r="R61" s="76"/>
      <c r="S61" s="76"/>
      <c r="T61" s="77">
        <v>42794</v>
      </c>
      <c r="U61" s="76"/>
      <c r="V61" s="76" t="s">
        <v>602</v>
      </c>
      <c r="W61" s="76" t="s">
        <v>601</v>
      </c>
      <c r="X61" s="76" t="s">
        <v>380</v>
      </c>
      <c r="Y61" s="76" t="s">
        <v>642</v>
      </c>
      <c r="Z61" s="76" t="s">
        <v>903</v>
      </c>
      <c r="AA61" s="76"/>
      <c r="AB61" s="76"/>
      <c r="AC61" s="76" t="s">
        <v>632</v>
      </c>
      <c r="AD61" s="82" t="s">
        <v>606</v>
      </c>
      <c r="AE61" s="83"/>
      <c r="AF61" s="83"/>
      <c r="AG61" s="83"/>
      <c r="AH61" s="83"/>
      <c r="AI61" s="83"/>
      <c r="AJ61" s="83"/>
      <c r="AK61" s="83"/>
      <c r="AL61" s="83"/>
      <c r="AM61" s="83"/>
    </row>
    <row r="62" spans="1:39" s="78" customFormat="1" x14ac:dyDescent="0.25">
      <c r="A62" s="76" t="s">
        <v>587</v>
      </c>
      <c r="B62" s="76" t="s">
        <v>904</v>
      </c>
      <c r="C62" s="76">
        <v>31</v>
      </c>
      <c r="D62" s="76" t="s">
        <v>589</v>
      </c>
      <c r="E62" s="77">
        <v>45191</v>
      </c>
      <c r="F62" s="76" t="s">
        <v>590</v>
      </c>
      <c r="G62" s="76"/>
      <c r="H62" s="76"/>
      <c r="I62" s="76"/>
      <c r="J62" s="76" t="s">
        <v>665</v>
      </c>
      <c r="K62" s="76" t="s">
        <v>593</v>
      </c>
      <c r="L62" s="76" t="s">
        <v>905</v>
      </c>
      <c r="M62" s="76" t="s">
        <v>677</v>
      </c>
      <c r="N62" s="76" t="s">
        <v>617</v>
      </c>
      <c r="O62" s="76" t="s">
        <v>677</v>
      </c>
      <c r="P62" s="76" t="s">
        <v>906</v>
      </c>
      <c r="Q62" s="76" t="s">
        <v>611</v>
      </c>
      <c r="R62" s="76"/>
      <c r="S62" s="76"/>
      <c r="T62" s="77">
        <v>42021</v>
      </c>
      <c r="U62" s="76" t="s">
        <v>602</v>
      </c>
      <c r="V62" s="76" t="s">
        <v>602</v>
      </c>
      <c r="W62" s="76" t="s">
        <v>601</v>
      </c>
      <c r="X62" s="76" t="s">
        <v>380</v>
      </c>
      <c r="Y62" s="76" t="s">
        <v>671</v>
      </c>
      <c r="Z62" s="76" t="s">
        <v>672</v>
      </c>
      <c r="AA62" s="76"/>
      <c r="AB62" s="76"/>
      <c r="AC62" s="76" t="s">
        <v>613</v>
      </c>
      <c r="AD62" s="82" t="s">
        <v>614</v>
      </c>
      <c r="AE62" s="83"/>
      <c r="AF62" s="83"/>
      <c r="AG62" s="83"/>
      <c r="AH62" s="83"/>
      <c r="AI62" s="83"/>
      <c r="AJ62" s="83"/>
      <c r="AK62" s="83"/>
      <c r="AL62" s="83"/>
      <c r="AM62" s="83"/>
    </row>
    <row r="63" spans="1:39" s="78" customFormat="1" x14ac:dyDescent="0.25">
      <c r="A63" s="76" t="s">
        <v>587</v>
      </c>
      <c r="B63" s="76" t="s">
        <v>907</v>
      </c>
      <c r="C63" s="76">
        <v>97</v>
      </c>
      <c r="D63" s="76" t="s">
        <v>589</v>
      </c>
      <c r="E63" s="77">
        <v>45520</v>
      </c>
      <c r="F63" s="76" t="s">
        <v>590</v>
      </c>
      <c r="G63" s="76"/>
      <c r="H63" s="76"/>
      <c r="I63" s="76" t="s">
        <v>654</v>
      </c>
      <c r="J63" s="76" t="s">
        <v>592</v>
      </c>
      <c r="K63" s="76" t="s">
        <v>593</v>
      </c>
      <c r="L63" s="76" t="s">
        <v>908</v>
      </c>
      <c r="M63" s="76" t="s">
        <v>909</v>
      </c>
      <c r="N63" s="76" t="s">
        <v>910</v>
      </c>
      <c r="O63" s="76" t="s">
        <v>911</v>
      </c>
      <c r="P63" s="76" t="s">
        <v>912</v>
      </c>
      <c r="Q63" s="76" t="s">
        <v>611</v>
      </c>
      <c r="R63" s="76"/>
      <c r="S63" s="76" t="s">
        <v>619</v>
      </c>
      <c r="T63" s="77">
        <v>42647</v>
      </c>
      <c r="U63" s="76"/>
      <c r="V63" s="76" t="s">
        <v>602</v>
      </c>
      <c r="W63" s="76" t="s">
        <v>601</v>
      </c>
      <c r="X63" s="76" t="s">
        <v>380</v>
      </c>
      <c r="Y63" s="76" t="s">
        <v>784</v>
      </c>
      <c r="Z63" s="76" t="s">
        <v>853</v>
      </c>
      <c r="AA63" s="76"/>
      <c r="AB63" s="76"/>
      <c r="AC63" s="76" t="s">
        <v>623</v>
      </c>
      <c r="AD63" s="82" t="s">
        <v>606</v>
      </c>
      <c r="AE63" s="83"/>
      <c r="AF63" s="83"/>
      <c r="AG63" s="83"/>
      <c r="AH63" s="83"/>
      <c r="AI63" s="83"/>
      <c r="AJ63" s="83"/>
      <c r="AK63" s="83"/>
      <c r="AL63" s="83"/>
      <c r="AM63" s="83"/>
    </row>
    <row r="64" spans="1:39" s="78" customFormat="1" x14ac:dyDescent="0.25">
      <c r="A64" s="76" t="s">
        <v>587</v>
      </c>
      <c r="B64" s="76" t="s">
        <v>913</v>
      </c>
      <c r="C64" s="76">
        <v>115</v>
      </c>
      <c r="D64" s="76" t="s">
        <v>589</v>
      </c>
      <c r="E64" s="77">
        <v>45531</v>
      </c>
      <c r="F64" s="76" t="s">
        <v>590</v>
      </c>
      <c r="G64" s="76"/>
      <c r="H64" s="76"/>
      <c r="I64" s="76" t="s">
        <v>654</v>
      </c>
      <c r="J64" s="76" t="s">
        <v>665</v>
      </c>
      <c r="K64" s="76" t="s">
        <v>593</v>
      </c>
      <c r="L64" s="76" t="s">
        <v>531</v>
      </c>
      <c r="M64" s="76" t="s">
        <v>770</v>
      </c>
      <c r="N64" s="76" t="s">
        <v>914</v>
      </c>
      <c r="O64" s="76" t="s">
        <v>772</v>
      </c>
      <c r="P64" s="76" t="s">
        <v>532</v>
      </c>
      <c r="Q64" s="76" t="s">
        <v>611</v>
      </c>
      <c r="R64" s="76"/>
      <c r="S64" s="76"/>
      <c r="T64" s="77">
        <v>42039</v>
      </c>
      <c r="U64" s="76" t="s">
        <v>915</v>
      </c>
      <c r="V64" s="76" t="s">
        <v>602</v>
      </c>
      <c r="W64" s="76" t="s">
        <v>601</v>
      </c>
      <c r="X64" s="76" t="s">
        <v>379</v>
      </c>
      <c r="Y64" s="76" t="s">
        <v>738</v>
      </c>
      <c r="Z64" s="76" t="s">
        <v>651</v>
      </c>
      <c r="AA64" s="76"/>
      <c r="AB64" s="76"/>
      <c r="AC64" s="76" t="s">
        <v>613</v>
      </c>
      <c r="AD64" s="82" t="s">
        <v>606</v>
      </c>
      <c r="AE64" s="83"/>
      <c r="AF64" s="83"/>
      <c r="AG64" s="83"/>
      <c r="AH64" s="83"/>
      <c r="AI64" s="83"/>
      <c r="AJ64" s="83"/>
      <c r="AK64" s="83"/>
      <c r="AL64" s="83"/>
      <c r="AM64" s="83"/>
    </row>
    <row r="65" spans="1:39" s="78" customFormat="1" x14ac:dyDescent="0.25">
      <c r="A65" s="76" t="s">
        <v>587</v>
      </c>
      <c r="B65" s="76" t="s">
        <v>916</v>
      </c>
      <c r="C65" s="76">
        <v>138</v>
      </c>
      <c r="D65" s="76" t="s">
        <v>589</v>
      </c>
      <c r="E65" s="77">
        <v>45868</v>
      </c>
      <c r="F65" s="76" t="s">
        <v>590</v>
      </c>
      <c r="G65" s="76"/>
      <c r="H65" s="76"/>
      <c r="I65" s="76"/>
      <c r="J65" s="76" t="s">
        <v>592</v>
      </c>
      <c r="K65" s="76" t="s">
        <v>593</v>
      </c>
      <c r="L65" s="76" t="s">
        <v>703</v>
      </c>
      <c r="M65" s="76" t="s">
        <v>617</v>
      </c>
      <c r="N65" s="76" t="s">
        <v>917</v>
      </c>
      <c r="O65" s="76"/>
      <c r="P65" s="76" t="s">
        <v>598</v>
      </c>
      <c r="Q65" s="76" t="s">
        <v>656</v>
      </c>
      <c r="R65" s="76"/>
      <c r="S65" s="76" t="s">
        <v>120</v>
      </c>
      <c r="T65" s="77">
        <v>42842</v>
      </c>
      <c r="U65" s="76" t="s">
        <v>601</v>
      </c>
      <c r="V65" s="76" t="s">
        <v>602</v>
      </c>
      <c r="W65" s="76" t="s">
        <v>601</v>
      </c>
      <c r="X65" s="76" t="s">
        <v>380</v>
      </c>
      <c r="Y65" s="76" t="s">
        <v>725</v>
      </c>
      <c r="Z65" s="76" t="s">
        <v>748</v>
      </c>
      <c r="AA65" s="76"/>
      <c r="AB65" s="76"/>
      <c r="AC65" s="76" t="s">
        <v>726</v>
      </c>
      <c r="AD65" s="82" t="s">
        <v>606</v>
      </c>
      <c r="AE65" s="83"/>
      <c r="AF65" s="83"/>
      <c r="AG65" s="83"/>
      <c r="AH65" s="83"/>
      <c r="AI65" s="83"/>
      <c r="AJ65" s="83"/>
      <c r="AK65" s="83"/>
      <c r="AL65" s="83"/>
      <c r="AM65" s="83"/>
    </row>
    <row r="66" spans="1:39" s="78" customFormat="1" x14ac:dyDescent="0.25">
      <c r="A66" s="76" t="s">
        <v>587</v>
      </c>
      <c r="B66" s="76" t="s">
        <v>918</v>
      </c>
      <c r="C66" s="76">
        <v>105</v>
      </c>
      <c r="D66" s="76" t="s">
        <v>589</v>
      </c>
      <c r="E66" s="77">
        <v>45523</v>
      </c>
      <c r="F66" s="76" t="s">
        <v>590</v>
      </c>
      <c r="G66" s="76"/>
      <c r="H66" s="76"/>
      <c r="I66" s="76" t="s">
        <v>654</v>
      </c>
      <c r="J66" s="76" t="s">
        <v>592</v>
      </c>
      <c r="K66" s="76" t="s">
        <v>593</v>
      </c>
      <c r="L66" s="76" t="s">
        <v>608</v>
      </c>
      <c r="M66" s="76"/>
      <c r="N66" s="76"/>
      <c r="O66" s="76"/>
      <c r="P66" s="76" t="s">
        <v>647</v>
      </c>
      <c r="Q66" s="76"/>
      <c r="R66" s="76"/>
      <c r="S66" s="76"/>
      <c r="T66" s="77">
        <v>42019</v>
      </c>
      <c r="U66" s="76" t="s">
        <v>602</v>
      </c>
      <c r="V66" s="76" t="s">
        <v>602</v>
      </c>
      <c r="W66" s="76" t="s">
        <v>601</v>
      </c>
      <c r="X66" s="76" t="s">
        <v>379</v>
      </c>
      <c r="Y66" s="76" t="s">
        <v>704</v>
      </c>
      <c r="Z66" s="76" t="s">
        <v>631</v>
      </c>
      <c r="AA66" s="76"/>
      <c r="AB66" s="76"/>
      <c r="AC66" s="76" t="s">
        <v>613</v>
      </c>
      <c r="AD66" s="82" t="s">
        <v>606</v>
      </c>
      <c r="AE66" s="83"/>
      <c r="AF66" s="83"/>
      <c r="AG66" s="83"/>
      <c r="AH66" s="83"/>
      <c r="AI66" s="83"/>
      <c r="AJ66" s="83"/>
      <c r="AK66" s="83"/>
      <c r="AL66" s="83"/>
      <c r="AM66" s="83"/>
    </row>
    <row r="67" spans="1:39" s="78" customFormat="1" x14ac:dyDescent="0.25">
      <c r="A67" s="76" t="s">
        <v>587</v>
      </c>
      <c r="B67" s="76" t="s">
        <v>919</v>
      </c>
      <c r="C67" s="76">
        <v>111</v>
      </c>
      <c r="D67" s="76" t="s">
        <v>589</v>
      </c>
      <c r="E67" s="77">
        <v>45526</v>
      </c>
      <c r="F67" s="76" t="s">
        <v>590</v>
      </c>
      <c r="G67" s="76"/>
      <c r="H67" s="76"/>
      <c r="I67" s="76" t="s">
        <v>684</v>
      </c>
      <c r="J67" s="76" t="s">
        <v>592</v>
      </c>
      <c r="K67" s="76" t="s">
        <v>593</v>
      </c>
      <c r="L67" s="76" t="s">
        <v>878</v>
      </c>
      <c r="M67" s="76" t="s">
        <v>617</v>
      </c>
      <c r="N67" s="76" t="s">
        <v>920</v>
      </c>
      <c r="O67" s="76"/>
      <c r="P67" s="76" t="s">
        <v>881</v>
      </c>
      <c r="Q67" s="76" t="s">
        <v>63</v>
      </c>
      <c r="R67" s="76" t="s">
        <v>921</v>
      </c>
      <c r="S67" s="76"/>
      <c r="T67" s="77">
        <v>41992</v>
      </c>
      <c r="U67" s="76"/>
      <c r="V67" s="76" t="s">
        <v>602</v>
      </c>
      <c r="W67" s="76" t="s">
        <v>601</v>
      </c>
      <c r="X67" s="76" t="s">
        <v>379</v>
      </c>
      <c r="Y67" s="76" t="s">
        <v>704</v>
      </c>
      <c r="Z67" s="76" t="s">
        <v>651</v>
      </c>
      <c r="AA67" s="76"/>
      <c r="AB67" s="76"/>
      <c r="AC67" s="76" t="s">
        <v>613</v>
      </c>
      <c r="AD67" s="82" t="s">
        <v>606</v>
      </c>
      <c r="AE67" s="83"/>
      <c r="AF67" s="83"/>
      <c r="AG67" s="83"/>
      <c r="AH67" s="83"/>
      <c r="AI67" s="83"/>
      <c r="AJ67" s="83"/>
      <c r="AK67" s="83"/>
      <c r="AL67" s="83"/>
      <c r="AM67" s="83"/>
    </row>
    <row r="68" spans="1:39" s="78" customFormat="1" x14ac:dyDescent="0.25">
      <c r="A68" s="76" t="s">
        <v>587</v>
      </c>
      <c r="B68" s="76" t="s">
        <v>922</v>
      </c>
      <c r="C68" s="76">
        <v>54</v>
      </c>
      <c r="D68" s="76" t="s">
        <v>589</v>
      </c>
      <c r="E68" s="77">
        <v>45195</v>
      </c>
      <c r="F68" s="76" t="s">
        <v>590</v>
      </c>
      <c r="G68" s="76"/>
      <c r="H68" s="76"/>
      <c r="I68" s="76" t="s">
        <v>591</v>
      </c>
      <c r="J68" s="76" t="s">
        <v>592</v>
      </c>
      <c r="K68" s="76" t="s">
        <v>593</v>
      </c>
      <c r="L68" s="76" t="s">
        <v>923</v>
      </c>
      <c r="M68" s="76" t="s">
        <v>891</v>
      </c>
      <c r="N68" s="76" t="s">
        <v>924</v>
      </c>
      <c r="O68" s="76" t="s">
        <v>925</v>
      </c>
      <c r="P68" s="76" t="s">
        <v>610</v>
      </c>
      <c r="Q68" s="76" t="s">
        <v>611</v>
      </c>
      <c r="R68" s="76"/>
      <c r="S68" s="76"/>
      <c r="T68" s="77">
        <v>41740</v>
      </c>
      <c r="U68" s="76" t="s">
        <v>926</v>
      </c>
      <c r="V68" s="76" t="s">
        <v>602</v>
      </c>
      <c r="W68" s="76" t="s">
        <v>601</v>
      </c>
      <c r="X68" s="76" t="s">
        <v>380</v>
      </c>
      <c r="Y68" s="76" t="s">
        <v>636</v>
      </c>
      <c r="Z68" s="76" t="s">
        <v>637</v>
      </c>
      <c r="AA68" s="76"/>
      <c r="AB68" s="76"/>
      <c r="AC68" s="76" t="s">
        <v>605</v>
      </c>
      <c r="AD68" s="82" t="s">
        <v>606</v>
      </c>
      <c r="AE68" s="83"/>
      <c r="AF68" s="83"/>
      <c r="AG68" s="83"/>
      <c r="AH68" s="83"/>
      <c r="AI68" s="83"/>
      <c r="AJ68" s="83"/>
      <c r="AK68" s="83"/>
      <c r="AL68" s="83"/>
      <c r="AM68" s="83"/>
    </row>
    <row r="69" spans="1:39" s="78" customFormat="1" x14ac:dyDescent="0.25">
      <c r="A69" s="76" t="s">
        <v>587</v>
      </c>
      <c r="B69" s="76" t="s">
        <v>927</v>
      </c>
      <c r="C69" s="76">
        <v>143</v>
      </c>
      <c r="D69" s="76" t="s">
        <v>589</v>
      </c>
      <c r="E69" s="77">
        <v>45876</v>
      </c>
      <c r="F69" s="76" t="s">
        <v>590</v>
      </c>
      <c r="G69" s="76"/>
      <c r="H69" s="76"/>
      <c r="I69" s="76"/>
      <c r="J69" s="76" t="s">
        <v>665</v>
      </c>
      <c r="K69" s="76" t="s">
        <v>593</v>
      </c>
      <c r="L69" s="76" t="s">
        <v>765</v>
      </c>
      <c r="M69" s="76" t="s">
        <v>609</v>
      </c>
      <c r="N69" s="76" t="s">
        <v>928</v>
      </c>
      <c r="O69" s="76" t="s">
        <v>929</v>
      </c>
      <c r="P69" s="76" t="s">
        <v>930</v>
      </c>
      <c r="Q69" s="76" t="s">
        <v>611</v>
      </c>
      <c r="R69" s="76"/>
      <c r="S69" s="76" t="s">
        <v>619</v>
      </c>
      <c r="T69" s="77">
        <v>42678</v>
      </c>
      <c r="U69" s="76" t="s">
        <v>601</v>
      </c>
      <c r="V69" s="76" t="s">
        <v>602</v>
      </c>
      <c r="W69" s="76" t="s">
        <v>620</v>
      </c>
      <c r="X69" s="76" t="s">
        <v>380</v>
      </c>
      <c r="Y69" s="76" t="s">
        <v>753</v>
      </c>
      <c r="Z69" s="76" t="s">
        <v>662</v>
      </c>
      <c r="AA69" s="76"/>
      <c r="AB69" s="76"/>
      <c r="AC69" s="76" t="s">
        <v>632</v>
      </c>
      <c r="AD69" s="82" t="s">
        <v>663</v>
      </c>
      <c r="AE69" s="83"/>
      <c r="AF69" s="83"/>
      <c r="AG69" s="83"/>
      <c r="AH69" s="83"/>
      <c r="AI69" s="83"/>
      <c r="AJ69" s="83"/>
      <c r="AK69" s="83"/>
      <c r="AL69" s="83"/>
      <c r="AM69" s="83"/>
    </row>
    <row r="70" spans="1:39" s="78" customFormat="1" x14ac:dyDescent="0.25">
      <c r="A70" s="76" t="s">
        <v>587</v>
      </c>
      <c r="B70" s="76" t="s">
        <v>931</v>
      </c>
      <c r="C70" s="76">
        <v>152</v>
      </c>
      <c r="D70" s="76" t="s">
        <v>589</v>
      </c>
      <c r="E70" s="77">
        <v>45516</v>
      </c>
      <c r="F70" s="76" t="s">
        <v>590</v>
      </c>
      <c r="G70" s="76"/>
      <c r="H70" s="76"/>
      <c r="I70" s="76"/>
      <c r="J70" s="76" t="s">
        <v>665</v>
      </c>
      <c r="K70" s="76" t="s">
        <v>593</v>
      </c>
      <c r="L70" s="76" t="s">
        <v>932</v>
      </c>
      <c r="M70" s="76" t="s">
        <v>933</v>
      </c>
      <c r="N70" s="76" t="s">
        <v>934</v>
      </c>
      <c r="O70" s="76" t="s">
        <v>935</v>
      </c>
      <c r="P70" s="76" t="s">
        <v>936</v>
      </c>
      <c r="Q70" s="76" t="s">
        <v>63</v>
      </c>
      <c r="R70" s="76" t="s">
        <v>937</v>
      </c>
      <c r="S70" s="76" t="s">
        <v>63</v>
      </c>
      <c r="T70" s="77">
        <v>42600</v>
      </c>
      <c r="U70" s="76" t="s">
        <v>938</v>
      </c>
      <c r="V70" s="76" t="s">
        <v>939</v>
      </c>
      <c r="W70" s="76" t="s">
        <v>940</v>
      </c>
      <c r="X70" s="76" t="s">
        <v>380</v>
      </c>
      <c r="Y70" s="76" t="s">
        <v>784</v>
      </c>
      <c r="Z70" s="76" t="s">
        <v>622</v>
      </c>
      <c r="AA70" s="76"/>
      <c r="AB70" s="76"/>
      <c r="AC70" s="76" t="s">
        <v>623</v>
      </c>
      <c r="AD70" s="82" t="s">
        <v>614</v>
      </c>
      <c r="AE70" s="83"/>
      <c r="AF70" s="83"/>
      <c r="AG70" s="83"/>
      <c r="AH70" s="83"/>
      <c r="AI70" s="83"/>
      <c r="AJ70" s="83"/>
      <c r="AK70" s="83"/>
      <c r="AL70" s="83"/>
      <c r="AM70" s="83"/>
    </row>
    <row r="71" spans="1:39" s="78" customFormat="1" x14ac:dyDescent="0.25">
      <c r="A71" s="76" t="s">
        <v>587</v>
      </c>
      <c r="B71" s="76" t="s">
        <v>941</v>
      </c>
      <c r="C71" s="76">
        <v>37</v>
      </c>
      <c r="D71" s="76" t="s">
        <v>589</v>
      </c>
      <c r="E71" s="77">
        <v>45194</v>
      </c>
      <c r="F71" s="76" t="s">
        <v>590</v>
      </c>
      <c r="G71" s="76"/>
      <c r="H71" s="76"/>
      <c r="I71" s="76" t="s">
        <v>591</v>
      </c>
      <c r="J71" s="76" t="s">
        <v>665</v>
      </c>
      <c r="K71" s="76" t="s">
        <v>593</v>
      </c>
      <c r="L71" s="76" t="s">
        <v>608</v>
      </c>
      <c r="M71" s="76" t="s">
        <v>645</v>
      </c>
      <c r="N71" s="76" t="s">
        <v>882</v>
      </c>
      <c r="O71" s="76" t="s">
        <v>942</v>
      </c>
      <c r="P71" s="76" t="s">
        <v>943</v>
      </c>
      <c r="Q71" s="76" t="s">
        <v>611</v>
      </c>
      <c r="R71" s="76"/>
      <c r="S71" s="76"/>
      <c r="T71" s="77">
        <v>41878</v>
      </c>
      <c r="U71" s="76" t="s">
        <v>601</v>
      </c>
      <c r="V71" s="76" t="s">
        <v>602</v>
      </c>
      <c r="W71" s="76" t="s">
        <v>601</v>
      </c>
      <c r="X71" s="76" t="s">
        <v>380</v>
      </c>
      <c r="Y71" s="76" t="s">
        <v>680</v>
      </c>
      <c r="Z71" s="76" t="s">
        <v>681</v>
      </c>
      <c r="AA71" s="76" t="s">
        <v>682</v>
      </c>
      <c r="AB71" s="76"/>
      <c r="AC71" s="76" t="s">
        <v>605</v>
      </c>
      <c r="AD71" s="82" t="s">
        <v>606</v>
      </c>
      <c r="AE71" s="83"/>
      <c r="AF71" s="83"/>
      <c r="AG71" s="83"/>
      <c r="AH71" s="83"/>
      <c r="AI71" s="83"/>
      <c r="AJ71" s="83"/>
      <c r="AK71" s="83"/>
      <c r="AL71" s="83"/>
      <c r="AM71" s="83"/>
    </row>
    <row r="72" spans="1:39" s="78" customFormat="1" x14ac:dyDescent="0.25">
      <c r="A72" s="76" t="s">
        <v>587</v>
      </c>
      <c r="B72" s="76" t="s">
        <v>944</v>
      </c>
      <c r="C72" s="76">
        <v>123</v>
      </c>
      <c r="D72" s="76" t="s">
        <v>589</v>
      </c>
      <c r="E72" s="77">
        <v>44456</v>
      </c>
      <c r="F72" s="76" t="s">
        <v>902</v>
      </c>
      <c r="G72" s="76"/>
      <c r="H72" s="76"/>
      <c r="I72" s="76"/>
      <c r="J72" s="76" t="s">
        <v>665</v>
      </c>
      <c r="K72" s="76" t="s">
        <v>593</v>
      </c>
      <c r="L72" s="76" t="s">
        <v>945</v>
      </c>
      <c r="M72" s="76" t="s">
        <v>63</v>
      </c>
      <c r="N72" s="76"/>
      <c r="O72" s="76"/>
      <c r="P72" s="76" t="s">
        <v>946</v>
      </c>
      <c r="Q72" s="76" t="s">
        <v>611</v>
      </c>
      <c r="R72" s="76"/>
      <c r="S72" s="76" t="s">
        <v>202</v>
      </c>
      <c r="T72" s="77">
        <v>40551</v>
      </c>
      <c r="U72" s="76" t="s">
        <v>602</v>
      </c>
      <c r="V72" s="76" t="s">
        <v>602</v>
      </c>
      <c r="W72" s="76" t="s">
        <v>601</v>
      </c>
      <c r="X72" s="76" t="s">
        <v>380</v>
      </c>
      <c r="Y72" s="76" t="s">
        <v>947</v>
      </c>
      <c r="Z72" s="76"/>
      <c r="AA72" s="76"/>
      <c r="AB72" s="76"/>
      <c r="AC72" s="76" t="s">
        <v>948</v>
      </c>
      <c r="AD72" s="82" t="s">
        <v>606</v>
      </c>
      <c r="AE72" s="83"/>
      <c r="AF72" s="83"/>
      <c r="AG72" s="83"/>
      <c r="AH72" s="83"/>
      <c r="AI72" s="83"/>
      <c r="AJ72" s="83"/>
      <c r="AK72" s="83"/>
      <c r="AL72" s="83"/>
      <c r="AM72" s="83"/>
    </row>
    <row r="73" spans="1:39" s="78" customFormat="1" x14ac:dyDescent="0.25">
      <c r="A73" s="76" t="s">
        <v>587</v>
      </c>
      <c r="B73" s="76" t="s">
        <v>949</v>
      </c>
      <c r="C73" s="76">
        <v>70</v>
      </c>
      <c r="D73" s="76" t="s">
        <v>589</v>
      </c>
      <c r="E73" s="77">
        <v>45198</v>
      </c>
      <c r="F73" s="76" t="s">
        <v>590</v>
      </c>
      <c r="G73" s="76"/>
      <c r="H73" s="76"/>
      <c r="I73" s="76"/>
      <c r="J73" s="76" t="s">
        <v>665</v>
      </c>
      <c r="K73" s="76" t="s">
        <v>593</v>
      </c>
      <c r="L73" s="76" t="s">
        <v>950</v>
      </c>
      <c r="M73" s="76" t="s">
        <v>677</v>
      </c>
      <c r="N73" s="76" t="s">
        <v>951</v>
      </c>
      <c r="O73" s="76" t="s">
        <v>677</v>
      </c>
      <c r="P73" s="76" t="s">
        <v>952</v>
      </c>
      <c r="Q73" s="76" t="s">
        <v>611</v>
      </c>
      <c r="R73" s="76"/>
      <c r="S73" s="76"/>
      <c r="T73" s="77">
        <v>42033</v>
      </c>
      <c r="U73" s="76" t="s">
        <v>602</v>
      </c>
      <c r="V73" s="76" t="s">
        <v>602</v>
      </c>
      <c r="W73" s="76" t="s">
        <v>601</v>
      </c>
      <c r="X73" s="76" t="s">
        <v>380</v>
      </c>
      <c r="Y73" s="76" t="s">
        <v>661</v>
      </c>
      <c r="Z73" s="76" t="s">
        <v>714</v>
      </c>
      <c r="AA73" s="76"/>
      <c r="AB73" s="76"/>
      <c r="AC73" s="76" t="s">
        <v>613</v>
      </c>
      <c r="AD73" s="82" t="s">
        <v>663</v>
      </c>
      <c r="AE73" s="83"/>
      <c r="AF73" s="83"/>
      <c r="AG73" s="83"/>
      <c r="AH73" s="83"/>
      <c r="AI73" s="83"/>
      <c r="AJ73" s="83"/>
      <c r="AK73" s="83"/>
      <c r="AL73" s="83"/>
      <c r="AM73" s="83"/>
    </row>
    <row r="74" spans="1:39" s="78" customFormat="1" x14ac:dyDescent="0.25">
      <c r="A74" s="76" t="s">
        <v>587</v>
      </c>
      <c r="B74" s="76" t="s">
        <v>953</v>
      </c>
      <c r="C74" s="76">
        <v>26</v>
      </c>
      <c r="D74" s="76" t="s">
        <v>589</v>
      </c>
      <c r="E74" s="77">
        <v>44807</v>
      </c>
      <c r="F74" s="76" t="s">
        <v>590</v>
      </c>
      <c r="G74" s="76"/>
      <c r="H74" s="76"/>
      <c r="I74" s="76" t="s">
        <v>591</v>
      </c>
      <c r="J74" s="76" t="s">
        <v>665</v>
      </c>
      <c r="K74" s="76" t="s">
        <v>593</v>
      </c>
      <c r="L74" s="76" t="s">
        <v>954</v>
      </c>
      <c r="M74" s="76" t="s">
        <v>955</v>
      </c>
      <c r="N74" s="76" t="s">
        <v>332</v>
      </c>
      <c r="O74" s="76" t="s">
        <v>956</v>
      </c>
      <c r="P74" s="76" t="s">
        <v>957</v>
      </c>
      <c r="Q74" s="76" t="s">
        <v>793</v>
      </c>
      <c r="R74" s="76"/>
      <c r="S74" s="76"/>
      <c r="T74" s="77">
        <v>41694</v>
      </c>
      <c r="U74" s="76" t="s">
        <v>602</v>
      </c>
      <c r="V74" s="76" t="s">
        <v>602</v>
      </c>
      <c r="W74" s="76"/>
      <c r="X74" s="76" t="s">
        <v>380</v>
      </c>
      <c r="Y74" s="76" t="s">
        <v>680</v>
      </c>
      <c r="Z74" s="76" t="s">
        <v>681</v>
      </c>
      <c r="AA74" s="76" t="s">
        <v>682</v>
      </c>
      <c r="AB74" s="76"/>
      <c r="AC74" s="76" t="s">
        <v>605</v>
      </c>
      <c r="AD74" s="82" t="s">
        <v>606</v>
      </c>
      <c r="AE74" s="83"/>
      <c r="AF74" s="83"/>
      <c r="AG74" s="83"/>
      <c r="AH74" s="83"/>
      <c r="AI74" s="83"/>
      <c r="AJ74" s="83"/>
      <c r="AK74" s="83"/>
      <c r="AL74" s="83"/>
      <c r="AM74" s="83"/>
    </row>
    <row r="75" spans="1:39" s="78" customFormat="1" x14ac:dyDescent="0.25">
      <c r="A75" s="76" t="s">
        <v>587</v>
      </c>
      <c r="B75" s="76" t="s">
        <v>958</v>
      </c>
      <c r="C75" s="76">
        <v>134</v>
      </c>
      <c r="D75" s="76" t="s">
        <v>589</v>
      </c>
      <c r="E75" s="77">
        <v>45866</v>
      </c>
      <c r="F75" s="76" t="s">
        <v>590</v>
      </c>
      <c r="G75" s="76"/>
      <c r="H75" s="76"/>
      <c r="I75" s="76"/>
      <c r="J75" s="76" t="s">
        <v>592</v>
      </c>
      <c r="K75" s="76" t="s">
        <v>593</v>
      </c>
      <c r="L75" s="76" t="s">
        <v>959</v>
      </c>
      <c r="M75" s="76" t="s">
        <v>617</v>
      </c>
      <c r="N75" s="76" t="s">
        <v>960</v>
      </c>
      <c r="O75" s="76"/>
      <c r="P75" s="76" t="s">
        <v>961</v>
      </c>
      <c r="Q75" s="76" t="s">
        <v>814</v>
      </c>
      <c r="R75" s="76" t="s">
        <v>962</v>
      </c>
      <c r="S75" s="76" t="s">
        <v>963</v>
      </c>
      <c r="T75" s="77">
        <v>42406</v>
      </c>
      <c r="U75" s="76" t="s">
        <v>602</v>
      </c>
      <c r="V75" s="76" t="s">
        <v>602</v>
      </c>
      <c r="W75" s="76" t="s">
        <v>620</v>
      </c>
      <c r="X75" s="76" t="s">
        <v>379</v>
      </c>
      <c r="Y75" s="76" t="s">
        <v>621</v>
      </c>
      <c r="Z75" s="76" t="s">
        <v>622</v>
      </c>
      <c r="AA75" s="76"/>
      <c r="AB75" s="76"/>
      <c r="AC75" s="76" t="s">
        <v>623</v>
      </c>
      <c r="AD75" s="82" t="s">
        <v>606</v>
      </c>
      <c r="AE75" s="83"/>
      <c r="AF75" s="83"/>
      <c r="AG75" s="83"/>
      <c r="AH75" s="83"/>
      <c r="AI75" s="83"/>
      <c r="AJ75" s="83"/>
      <c r="AK75" s="83"/>
      <c r="AL75" s="83"/>
      <c r="AM75" s="83"/>
    </row>
    <row r="76" spans="1:39" s="78" customFormat="1" x14ac:dyDescent="0.25">
      <c r="A76" s="76" t="s">
        <v>587</v>
      </c>
      <c r="B76" s="76" t="s">
        <v>964</v>
      </c>
      <c r="C76" s="76">
        <v>32</v>
      </c>
      <c r="D76" s="76" t="s">
        <v>589</v>
      </c>
      <c r="E76" s="77">
        <v>45192</v>
      </c>
      <c r="F76" s="76" t="s">
        <v>590</v>
      </c>
      <c r="G76" s="76"/>
      <c r="H76" s="76"/>
      <c r="I76" s="76"/>
      <c r="J76" s="76" t="s">
        <v>665</v>
      </c>
      <c r="K76" s="76" t="s">
        <v>593</v>
      </c>
      <c r="L76" s="76" t="s">
        <v>790</v>
      </c>
      <c r="M76" s="76" t="s">
        <v>617</v>
      </c>
      <c r="N76" s="76" t="s">
        <v>965</v>
      </c>
      <c r="O76" s="76" t="s">
        <v>966</v>
      </c>
      <c r="P76" s="76" t="s">
        <v>967</v>
      </c>
      <c r="Q76" s="76" t="s">
        <v>617</v>
      </c>
      <c r="R76" s="76" t="s">
        <v>968</v>
      </c>
      <c r="S76" s="76" t="s">
        <v>969</v>
      </c>
      <c r="T76" s="77">
        <v>42151</v>
      </c>
      <c r="U76" s="76" t="s">
        <v>602</v>
      </c>
      <c r="V76" s="76" t="s">
        <v>602</v>
      </c>
      <c r="W76" s="76" t="s">
        <v>601</v>
      </c>
      <c r="X76" s="76" t="s">
        <v>380</v>
      </c>
      <c r="Y76" s="76" t="s">
        <v>738</v>
      </c>
      <c r="Z76" s="76" t="s">
        <v>651</v>
      </c>
      <c r="AA76" s="76"/>
      <c r="AB76" s="76"/>
      <c r="AC76" s="76" t="s">
        <v>613</v>
      </c>
      <c r="AD76" s="82" t="s">
        <v>606</v>
      </c>
      <c r="AE76" s="83"/>
      <c r="AF76" s="83"/>
      <c r="AG76" s="83"/>
      <c r="AH76" s="83"/>
      <c r="AI76" s="83"/>
      <c r="AJ76" s="83"/>
      <c r="AK76" s="83"/>
      <c r="AL76" s="83"/>
      <c r="AM76" s="83"/>
    </row>
    <row r="77" spans="1:39" s="78" customFormat="1" x14ac:dyDescent="0.25">
      <c r="A77" s="76" t="s">
        <v>587</v>
      </c>
      <c r="B77" s="76" t="s">
        <v>970</v>
      </c>
      <c r="C77" s="76">
        <v>18</v>
      </c>
      <c r="D77" s="76" t="s">
        <v>589</v>
      </c>
      <c r="E77" s="77">
        <v>45190</v>
      </c>
      <c r="F77" s="76" t="s">
        <v>590</v>
      </c>
      <c r="G77" s="76"/>
      <c r="H77" s="76"/>
      <c r="I77" s="76" t="s">
        <v>591</v>
      </c>
      <c r="J77" s="76" t="s">
        <v>592</v>
      </c>
      <c r="K77" s="76" t="s">
        <v>593</v>
      </c>
      <c r="L77" s="76" t="s">
        <v>803</v>
      </c>
      <c r="M77" s="76" t="s">
        <v>617</v>
      </c>
      <c r="N77" s="76" t="s">
        <v>971</v>
      </c>
      <c r="O77" s="76" t="s">
        <v>972</v>
      </c>
      <c r="P77" s="76" t="s">
        <v>805</v>
      </c>
      <c r="Q77" s="76" t="s">
        <v>611</v>
      </c>
      <c r="R77" s="76"/>
      <c r="S77" s="76"/>
      <c r="T77" s="77">
        <v>41908</v>
      </c>
      <c r="U77" s="76"/>
      <c r="V77" s="76" t="s">
        <v>602</v>
      </c>
      <c r="W77" s="76" t="s">
        <v>601</v>
      </c>
      <c r="X77" s="76" t="s">
        <v>380</v>
      </c>
      <c r="Y77" s="76" t="s">
        <v>650</v>
      </c>
      <c r="Z77" s="76" t="s">
        <v>637</v>
      </c>
      <c r="AA77" s="76"/>
      <c r="AB77" s="76"/>
      <c r="AC77" s="76" t="s">
        <v>605</v>
      </c>
      <c r="AD77" s="82" t="s">
        <v>606</v>
      </c>
      <c r="AE77" s="83"/>
      <c r="AF77" s="83"/>
      <c r="AG77" s="83"/>
      <c r="AH77" s="83"/>
      <c r="AI77" s="83"/>
      <c r="AJ77" s="83"/>
      <c r="AK77" s="83"/>
      <c r="AL77" s="83"/>
      <c r="AM77" s="83"/>
    </row>
    <row r="78" spans="1:39" s="78" customFormat="1" x14ac:dyDescent="0.25">
      <c r="A78" s="76" t="s">
        <v>587</v>
      </c>
      <c r="B78" s="76" t="s">
        <v>973</v>
      </c>
      <c r="C78" s="76">
        <v>139</v>
      </c>
      <c r="D78" s="76" t="s">
        <v>589</v>
      </c>
      <c r="E78" s="77">
        <v>45869</v>
      </c>
      <c r="F78" s="76" t="s">
        <v>590</v>
      </c>
      <c r="G78" s="76"/>
      <c r="H78" s="76"/>
      <c r="I78" s="76"/>
      <c r="J78" s="76" t="s">
        <v>592</v>
      </c>
      <c r="K78" s="76" t="s">
        <v>593</v>
      </c>
      <c r="L78" s="76" t="s">
        <v>974</v>
      </c>
      <c r="M78" s="76" t="s">
        <v>825</v>
      </c>
      <c r="N78" s="76" t="s">
        <v>975</v>
      </c>
      <c r="O78" s="76"/>
      <c r="P78" s="76" t="s">
        <v>976</v>
      </c>
      <c r="Q78" s="76" t="s">
        <v>825</v>
      </c>
      <c r="R78" s="76" t="s">
        <v>977</v>
      </c>
      <c r="S78" s="76"/>
      <c r="T78" s="77">
        <v>43269</v>
      </c>
      <c r="U78" s="76" t="s">
        <v>602</v>
      </c>
      <c r="V78" s="76"/>
      <c r="W78" s="76"/>
      <c r="X78" s="76" t="s">
        <v>380</v>
      </c>
      <c r="Y78" s="76" t="s">
        <v>725</v>
      </c>
      <c r="Z78" s="76" t="s">
        <v>719</v>
      </c>
      <c r="AA78" s="76"/>
      <c r="AB78" s="76"/>
      <c r="AC78" s="76" t="s">
        <v>726</v>
      </c>
      <c r="AD78" s="82" t="s">
        <v>606</v>
      </c>
      <c r="AE78" s="83"/>
      <c r="AF78" s="83"/>
      <c r="AG78" s="83"/>
      <c r="AH78" s="83"/>
      <c r="AI78" s="83"/>
      <c r="AJ78" s="83"/>
      <c r="AK78" s="83"/>
      <c r="AL78" s="83"/>
      <c r="AM78" s="83"/>
    </row>
    <row r="79" spans="1:39" s="78" customFormat="1" x14ac:dyDescent="0.25">
      <c r="A79" s="76" t="s">
        <v>587</v>
      </c>
      <c r="B79" s="76" t="s">
        <v>978</v>
      </c>
      <c r="C79" s="76">
        <v>56</v>
      </c>
      <c r="D79" s="76" t="s">
        <v>589</v>
      </c>
      <c r="E79" s="77">
        <v>45196</v>
      </c>
      <c r="F79" s="76" t="s">
        <v>590</v>
      </c>
      <c r="G79" s="76"/>
      <c r="H79" s="76"/>
      <c r="I79" s="76"/>
      <c r="J79" s="76" t="s">
        <v>592</v>
      </c>
      <c r="K79" s="76" t="s">
        <v>593</v>
      </c>
      <c r="L79" s="76" t="s">
        <v>979</v>
      </c>
      <c r="M79" s="76"/>
      <c r="N79" s="76" t="s">
        <v>617</v>
      </c>
      <c r="O79" s="76" t="s">
        <v>980</v>
      </c>
      <c r="P79" s="76" t="s">
        <v>981</v>
      </c>
      <c r="Q79" s="76" t="s">
        <v>611</v>
      </c>
      <c r="R79" s="76"/>
      <c r="S79" s="76"/>
      <c r="T79" s="77">
        <v>42170</v>
      </c>
      <c r="U79" s="76" t="s">
        <v>982</v>
      </c>
      <c r="V79" s="76" t="s">
        <v>602</v>
      </c>
      <c r="W79" s="76" t="s">
        <v>601</v>
      </c>
      <c r="X79" s="76" t="s">
        <v>380</v>
      </c>
      <c r="Y79" s="76" t="s">
        <v>738</v>
      </c>
      <c r="Z79" s="76" t="s">
        <v>651</v>
      </c>
      <c r="AA79" s="76"/>
      <c r="AB79" s="76"/>
      <c r="AC79" s="76" t="s">
        <v>613</v>
      </c>
      <c r="AD79" s="82" t="s">
        <v>606</v>
      </c>
      <c r="AE79" s="83"/>
      <c r="AF79" s="83"/>
      <c r="AG79" s="83"/>
      <c r="AH79" s="83"/>
      <c r="AI79" s="83"/>
      <c r="AJ79" s="83"/>
      <c r="AK79" s="83"/>
      <c r="AL79" s="83"/>
      <c r="AM79" s="83"/>
    </row>
    <row r="80" spans="1:39" s="78" customFormat="1" x14ac:dyDescent="0.25">
      <c r="A80" s="76" t="s">
        <v>587</v>
      </c>
      <c r="B80" s="76" t="s">
        <v>983</v>
      </c>
      <c r="C80" s="76">
        <v>96</v>
      </c>
      <c r="D80" s="76" t="s">
        <v>589</v>
      </c>
      <c r="E80" s="77">
        <v>45520</v>
      </c>
      <c r="F80" s="76" t="s">
        <v>590</v>
      </c>
      <c r="G80" s="76"/>
      <c r="H80" s="76"/>
      <c r="I80" s="76" t="s">
        <v>654</v>
      </c>
      <c r="J80" s="76" t="s">
        <v>592</v>
      </c>
      <c r="K80" s="76" t="s">
        <v>593</v>
      </c>
      <c r="L80" s="76" t="s">
        <v>984</v>
      </c>
      <c r="M80" s="76"/>
      <c r="N80" s="76" t="s">
        <v>985</v>
      </c>
      <c r="O80" s="76" t="s">
        <v>237</v>
      </c>
      <c r="P80" s="76" t="s">
        <v>986</v>
      </c>
      <c r="Q80" s="76" t="s">
        <v>599</v>
      </c>
      <c r="R80" s="76" t="s">
        <v>987</v>
      </c>
      <c r="S80" s="76" t="s">
        <v>112</v>
      </c>
      <c r="T80" s="77">
        <v>42677</v>
      </c>
      <c r="U80" s="76"/>
      <c r="V80" s="76" t="s">
        <v>602</v>
      </c>
      <c r="W80" s="76" t="s">
        <v>601</v>
      </c>
      <c r="X80" s="76" t="s">
        <v>380</v>
      </c>
      <c r="Y80" s="76" t="s">
        <v>784</v>
      </c>
      <c r="Z80" s="76" t="s">
        <v>687</v>
      </c>
      <c r="AA80" s="76"/>
      <c r="AB80" s="76"/>
      <c r="AC80" s="76" t="s">
        <v>623</v>
      </c>
      <c r="AD80" s="82" t="s">
        <v>606</v>
      </c>
      <c r="AE80" s="83"/>
      <c r="AF80" s="83"/>
      <c r="AG80" s="83"/>
      <c r="AH80" s="83"/>
      <c r="AI80" s="83"/>
      <c r="AJ80" s="83"/>
      <c r="AK80" s="83"/>
      <c r="AL80" s="83"/>
      <c r="AM80" s="83"/>
    </row>
    <row r="81" spans="1:39" s="78" customFormat="1" x14ac:dyDescent="0.25">
      <c r="A81" s="76" t="s">
        <v>587</v>
      </c>
      <c r="B81" s="76" t="s">
        <v>988</v>
      </c>
      <c r="C81" s="76">
        <v>7</v>
      </c>
      <c r="D81" s="76" t="s">
        <v>589</v>
      </c>
      <c r="E81" s="77">
        <v>45189</v>
      </c>
      <c r="F81" s="76" t="s">
        <v>590</v>
      </c>
      <c r="G81" s="76"/>
      <c r="H81" s="76"/>
      <c r="I81" s="76" t="s">
        <v>591</v>
      </c>
      <c r="J81" s="76" t="s">
        <v>665</v>
      </c>
      <c r="K81" s="76" t="s">
        <v>593</v>
      </c>
      <c r="L81" s="76" t="s">
        <v>989</v>
      </c>
      <c r="M81" s="76"/>
      <c r="N81" s="76"/>
      <c r="O81" s="76"/>
      <c r="P81" s="76" t="s">
        <v>844</v>
      </c>
      <c r="Q81" s="76" t="s">
        <v>611</v>
      </c>
      <c r="R81" s="76"/>
      <c r="S81" s="76"/>
      <c r="T81" s="77">
        <v>41641</v>
      </c>
      <c r="U81" s="76" t="s">
        <v>601</v>
      </c>
      <c r="V81" s="76" t="s">
        <v>602</v>
      </c>
      <c r="W81" s="76" t="s">
        <v>601</v>
      </c>
      <c r="X81" s="76" t="s">
        <v>380</v>
      </c>
      <c r="Y81" s="76" t="s">
        <v>696</v>
      </c>
      <c r="Z81" s="76"/>
      <c r="AA81" s="76"/>
      <c r="AB81" s="76"/>
      <c r="AC81" s="76" t="s">
        <v>605</v>
      </c>
      <c r="AD81" s="82" t="s">
        <v>663</v>
      </c>
      <c r="AE81" s="83"/>
      <c r="AF81" s="83"/>
      <c r="AG81" s="83"/>
      <c r="AH81" s="83"/>
      <c r="AI81" s="83"/>
      <c r="AJ81" s="83"/>
      <c r="AK81" s="83"/>
      <c r="AL81" s="83"/>
      <c r="AM81" s="83"/>
    </row>
    <row r="82" spans="1:39" s="78" customFormat="1" x14ac:dyDescent="0.25">
      <c r="A82" s="76" t="s">
        <v>587</v>
      </c>
      <c r="B82" s="76" t="s">
        <v>990</v>
      </c>
      <c r="C82" s="76">
        <v>135</v>
      </c>
      <c r="D82" s="76" t="s">
        <v>589</v>
      </c>
      <c r="E82" s="77">
        <v>45867</v>
      </c>
      <c r="F82" s="76" t="s">
        <v>590</v>
      </c>
      <c r="G82" s="76"/>
      <c r="H82" s="76"/>
      <c r="I82" s="76"/>
      <c r="J82" s="76" t="s">
        <v>665</v>
      </c>
      <c r="K82" s="76" t="s">
        <v>593</v>
      </c>
      <c r="L82" s="76" t="s">
        <v>991</v>
      </c>
      <c r="M82" s="76" t="s">
        <v>617</v>
      </c>
      <c r="N82" s="76"/>
      <c r="O82" s="76"/>
      <c r="P82" s="76" t="s">
        <v>992</v>
      </c>
      <c r="Q82" s="76" t="s">
        <v>611</v>
      </c>
      <c r="R82" s="76"/>
      <c r="S82" s="76"/>
      <c r="T82" s="77">
        <v>42901</v>
      </c>
      <c r="U82" s="76" t="s">
        <v>66</v>
      </c>
      <c r="V82" s="76" t="s">
        <v>602</v>
      </c>
      <c r="W82" s="76" t="s">
        <v>601</v>
      </c>
      <c r="X82" s="76" t="s">
        <v>380</v>
      </c>
      <c r="Y82" s="76" t="s">
        <v>630</v>
      </c>
      <c r="Z82" s="76" t="s">
        <v>774</v>
      </c>
      <c r="AA82" s="76"/>
      <c r="AB82" s="76"/>
      <c r="AC82" s="76" t="s">
        <v>632</v>
      </c>
      <c r="AD82" s="82" t="s">
        <v>614</v>
      </c>
      <c r="AE82" s="83"/>
      <c r="AF82" s="83"/>
      <c r="AG82" s="83"/>
      <c r="AH82" s="83"/>
      <c r="AI82" s="83"/>
      <c r="AJ82" s="83"/>
      <c r="AK82" s="83"/>
      <c r="AL82" s="83"/>
      <c r="AM82" s="83"/>
    </row>
    <row r="83" spans="1:39" s="78" customFormat="1" x14ac:dyDescent="0.25">
      <c r="A83" s="76" t="s">
        <v>587</v>
      </c>
      <c r="B83" s="76" t="s">
        <v>993</v>
      </c>
      <c r="C83" s="76">
        <v>141</v>
      </c>
      <c r="D83" s="76" t="s">
        <v>589</v>
      </c>
      <c r="E83" s="77">
        <v>45874</v>
      </c>
      <c r="F83" s="76" t="s">
        <v>590</v>
      </c>
      <c r="G83" s="76"/>
      <c r="H83" s="76"/>
      <c r="I83" s="76"/>
      <c r="J83" s="76" t="s">
        <v>592</v>
      </c>
      <c r="K83" s="76" t="s">
        <v>593</v>
      </c>
      <c r="L83" s="76" t="s">
        <v>608</v>
      </c>
      <c r="M83" s="76" t="s">
        <v>617</v>
      </c>
      <c r="N83" s="76" t="s">
        <v>994</v>
      </c>
      <c r="O83" s="76" t="s">
        <v>169</v>
      </c>
      <c r="P83" s="76" t="s">
        <v>995</v>
      </c>
      <c r="Q83" s="76" t="s">
        <v>611</v>
      </c>
      <c r="R83" s="76"/>
      <c r="S83" s="76" t="s">
        <v>619</v>
      </c>
      <c r="T83" s="77">
        <v>43355</v>
      </c>
      <c r="U83" s="76" t="s">
        <v>210</v>
      </c>
      <c r="V83" s="76" t="s">
        <v>602</v>
      </c>
      <c r="W83" s="76" t="s">
        <v>601</v>
      </c>
      <c r="X83" s="76" t="s">
        <v>380</v>
      </c>
      <c r="Y83" s="76" t="s">
        <v>630</v>
      </c>
      <c r="Z83" s="76" t="s">
        <v>774</v>
      </c>
      <c r="AA83" s="76"/>
      <c r="AB83" s="76"/>
      <c r="AC83" s="76" t="s">
        <v>726</v>
      </c>
      <c r="AD83" s="82" t="s">
        <v>606</v>
      </c>
      <c r="AE83" s="83"/>
      <c r="AF83" s="83"/>
      <c r="AG83" s="83"/>
      <c r="AH83" s="83"/>
      <c r="AI83" s="83"/>
      <c r="AJ83" s="83"/>
      <c r="AK83" s="83"/>
      <c r="AL83" s="83"/>
      <c r="AM83" s="83"/>
    </row>
    <row r="84" spans="1:39" s="78" customFormat="1" x14ac:dyDescent="0.25">
      <c r="A84" s="76" t="s">
        <v>587</v>
      </c>
      <c r="B84" s="76" t="s">
        <v>996</v>
      </c>
      <c r="C84" s="76">
        <v>74</v>
      </c>
      <c r="D84" s="76" t="s">
        <v>589</v>
      </c>
      <c r="E84" s="77">
        <v>45198</v>
      </c>
      <c r="F84" s="76" t="s">
        <v>590</v>
      </c>
      <c r="G84" s="76"/>
      <c r="H84" s="76"/>
      <c r="I84" s="76"/>
      <c r="J84" s="76" t="s">
        <v>665</v>
      </c>
      <c r="K84" s="76" t="s">
        <v>593</v>
      </c>
      <c r="L84" s="76" t="s">
        <v>997</v>
      </c>
      <c r="M84" s="76"/>
      <c r="N84" s="76"/>
      <c r="O84" s="76" t="s">
        <v>640</v>
      </c>
      <c r="P84" s="76" t="s">
        <v>709</v>
      </c>
      <c r="Q84" s="76" t="s">
        <v>611</v>
      </c>
      <c r="R84" s="76"/>
      <c r="S84" s="76"/>
      <c r="T84" s="77">
        <v>42055</v>
      </c>
      <c r="U84" s="76" t="s">
        <v>998</v>
      </c>
      <c r="V84" s="76" t="s">
        <v>602</v>
      </c>
      <c r="W84" s="76" t="s">
        <v>601</v>
      </c>
      <c r="X84" s="76" t="s">
        <v>380</v>
      </c>
      <c r="Y84" s="76" t="s">
        <v>612</v>
      </c>
      <c r="Z84" s="76" t="s">
        <v>681</v>
      </c>
      <c r="AA84" s="76"/>
      <c r="AB84" s="76"/>
      <c r="AC84" s="76" t="s">
        <v>613</v>
      </c>
      <c r="AD84" s="82" t="s">
        <v>606</v>
      </c>
      <c r="AE84" s="83"/>
      <c r="AF84" s="83"/>
      <c r="AG84" s="83"/>
      <c r="AH84" s="83"/>
      <c r="AI84" s="83"/>
      <c r="AJ84" s="83"/>
      <c r="AK84" s="83"/>
      <c r="AL84" s="83"/>
      <c r="AM84" s="8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CB94-A6B7-44FA-8A98-ADAF0798919B}">
  <dimension ref="B1:S40"/>
  <sheetViews>
    <sheetView workbookViewId="0">
      <selection activeCell="O11" sqref="O11"/>
    </sheetView>
  </sheetViews>
  <sheetFormatPr defaultRowHeight="14.25" x14ac:dyDescent="0.2"/>
  <cols>
    <col min="1" max="1" width="9.140625" style="16"/>
    <col min="2" max="2" width="15.5703125" style="16" customWidth="1"/>
    <col min="3" max="3" width="35" style="16" customWidth="1"/>
    <col min="4" max="4" width="9.42578125" style="16" customWidth="1"/>
    <col min="5" max="5" width="5.28515625" style="16" customWidth="1"/>
    <col min="6" max="6" width="11.5703125" style="16" customWidth="1"/>
    <col min="7" max="7" width="7.42578125" style="16" customWidth="1"/>
    <col min="8" max="8" width="16.28515625" style="16" customWidth="1"/>
    <col min="9" max="9" width="9.140625" style="16"/>
    <col min="10" max="10" width="13.42578125" style="16" customWidth="1"/>
    <col min="11" max="11" width="14.42578125" style="16" customWidth="1"/>
    <col min="12" max="16384" width="9.140625" style="16"/>
  </cols>
  <sheetData>
    <row r="1" spans="2:19" ht="20.25" customHeight="1" x14ac:dyDescent="0.2">
      <c r="B1" s="37"/>
      <c r="C1" s="38" t="s">
        <v>367</v>
      </c>
      <c r="D1" s="38"/>
      <c r="E1" s="38"/>
      <c r="F1" s="38"/>
      <c r="G1" s="38"/>
      <c r="H1" s="37"/>
      <c r="I1" s="15"/>
      <c r="J1" s="15"/>
      <c r="K1" s="15"/>
      <c r="L1" s="15"/>
      <c r="M1" s="15"/>
      <c r="N1" s="15"/>
      <c r="O1" s="15"/>
    </row>
    <row r="2" spans="2:19" ht="20.25" customHeight="1" x14ac:dyDescent="0.2">
      <c r="B2" s="37"/>
      <c r="C2" s="39" t="s">
        <v>368</v>
      </c>
      <c r="D2" s="39"/>
      <c r="E2" s="39"/>
      <c r="F2" s="39"/>
      <c r="G2" s="39"/>
      <c r="H2" s="37"/>
      <c r="I2" s="15"/>
      <c r="J2" s="15"/>
      <c r="K2" s="17"/>
      <c r="L2" s="17"/>
      <c r="M2" s="17"/>
      <c r="N2" s="15"/>
      <c r="O2" s="15"/>
      <c r="P2" s="18"/>
      <c r="Q2" s="18"/>
    </row>
    <row r="3" spans="2:19" ht="30" customHeight="1" x14ac:dyDescent="0.2">
      <c r="B3" s="37"/>
      <c r="C3" s="40" t="s">
        <v>391</v>
      </c>
      <c r="D3" s="40"/>
      <c r="E3" s="40"/>
      <c r="F3" s="40"/>
      <c r="G3" s="40"/>
      <c r="H3" s="37"/>
      <c r="I3" s="15"/>
      <c r="J3" s="15"/>
      <c r="K3" s="17"/>
      <c r="L3" s="17">
        <v>1</v>
      </c>
      <c r="M3" s="17"/>
      <c r="N3" s="15"/>
      <c r="O3" s="15"/>
      <c r="P3" s="18"/>
      <c r="Q3" s="18"/>
    </row>
    <row r="4" spans="2:19" ht="18.75" thickBot="1" x14ac:dyDescent="0.25">
      <c r="B4" s="36"/>
      <c r="C4" s="36"/>
      <c r="D4" s="36"/>
      <c r="E4" s="36"/>
      <c r="F4" s="36"/>
      <c r="G4" s="36"/>
      <c r="H4" s="36"/>
      <c r="I4" s="15"/>
      <c r="J4" s="15"/>
      <c r="K4" s="17"/>
      <c r="L4" s="17"/>
      <c r="M4" s="17"/>
      <c r="N4" s="15"/>
      <c r="O4" s="15"/>
      <c r="P4" s="18"/>
      <c r="Q4" s="18"/>
    </row>
    <row r="5" spans="2:19" ht="15.75" thickBot="1" x14ac:dyDescent="0.25">
      <c r="B5" s="41" t="s">
        <v>369</v>
      </c>
      <c r="C5" s="42"/>
      <c r="D5" s="42"/>
      <c r="E5" s="42"/>
      <c r="F5" s="42"/>
      <c r="G5" s="42"/>
      <c r="H5" s="43"/>
      <c r="I5" s="15"/>
      <c r="J5" s="15" t="str">
        <f>"FormYanıtları1!B"&amp;$L$3+1</f>
        <v>FormYanıtları1!B2</v>
      </c>
      <c r="K5" s="26" t="str">
        <f t="shared" ref="K5:K11" ca="1" si="0">IF(INDIRECT(J5)=0,"",INDIRECT(J5))</f>
        <v xml:space="preserve">Abdulkadir ŞAHİN </v>
      </c>
      <c r="L5" s="17"/>
      <c r="M5" s="17"/>
      <c r="N5" s="15"/>
      <c r="O5" s="15"/>
      <c r="P5" s="18"/>
      <c r="Q5" s="18"/>
    </row>
    <row r="6" spans="2:19" ht="20.25" customHeight="1" thickBot="1" x14ac:dyDescent="0.25">
      <c r="B6" s="19" t="s">
        <v>370</v>
      </c>
      <c r="C6" s="44" t="str">
        <f ca="1">K5</f>
        <v xml:space="preserve">Abdulkadir ŞAHİN </v>
      </c>
      <c r="D6" s="45"/>
      <c r="E6" s="46" t="s">
        <v>371</v>
      </c>
      <c r="F6" s="47"/>
      <c r="G6" s="48">
        <f ca="1">K6</f>
        <v>38791353098</v>
      </c>
      <c r="H6" s="45"/>
      <c r="I6" s="15"/>
      <c r="J6" s="15" t="str">
        <f>"FormYanıtları1!C"&amp;$L$3+1</f>
        <v>FormYanıtları1!C2</v>
      </c>
      <c r="K6" s="27">
        <f t="shared" ca="1" si="0"/>
        <v>38791353098</v>
      </c>
      <c r="L6" s="15"/>
      <c r="M6" s="15"/>
      <c r="N6" s="15"/>
      <c r="O6" s="15"/>
      <c r="P6" s="18"/>
      <c r="Q6" s="18"/>
      <c r="R6" s="18"/>
      <c r="S6" s="18"/>
    </row>
    <row r="7" spans="2:19" ht="20.25" customHeight="1" thickBot="1" x14ac:dyDescent="0.25">
      <c r="B7" s="19" t="s">
        <v>372</v>
      </c>
      <c r="C7" s="44" t="str">
        <f ca="1">K7</f>
        <v xml:space="preserve">Şehitkamil </v>
      </c>
      <c r="D7" s="45"/>
      <c r="E7" s="46" t="s">
        <v>373</v>
      </c>
      <c r="F7" s="47"/>
      <c r="G7" s="49">
        <f ca="1">K8</f>
        <v>41911</v>
      </c>
      <c r="H7" s="50"/>
      <c r="I7" s="15"/>
      <c r="J7" s="15" t="str">
        <f>"FormYanıtları1!E"&amp;$L$3+1</f>
        <v>FormYanıtları1!E2</v>
      </c>
      <c r="K7" s="28" t="str">
        <f t="shared" ca="1" si="0"/>
        <v xml:space="preserve">Şehitkamil </v>
      </c>
      <c r="L7" s="15"/>
      <c r="M7" s="15"/>
      <c r="N7" s="15"/>
      <c r="O7" s="15"/>
      <c r="P7" s="18"/>
      <c r="Q7" s="18"/>
      <c r="R7" s="18"/>
      <c r="S7" s="18"/>
    </row>
    <row r="8" spans="2:19" ht="20.25" customHeight="1" thickBot="1" x14ac:dyDescent="0.25">
      <c r="B8" s="19" t="s">
        <v>392</v>
      </c>
      <c r="C8" s="51" t="str">
        <f ca="1">IF(K9="Anne","(X) Anne ( ) Baba ( ) Diğer",IF(K9="Baba","( ) Anne (X) Baba ( ) Diğer",IF(K9="Diğer","( ) Anne ( ) Baba (X) Diğer",)))</f>
        <v>( ) Anne (X) Baba ( ) Diğer</v>
      </c>
      <c r="D8" s="54"/>
      <c r="E8" s="46" t="s">
        <v>376</v>
      </c>
      <c r="F8" s="47"/>
      <c r="G8" s="54" t="str">
        <f ca="1">K10</f>
        <v/>
      </c>
      <c r="H8" s="52"/>
      <c r="I8" s="15"/>
      <c r="J8" s="15" t="str">
        <f>"FormYanıtları1!D"&amp;$L$3+1</f>
        <v>FormYanıtları1!D2</v>
      </c>
      <c r="K8" s="28">
        <f t="shared" ca="1" si="0"/>
        <v>41911</v>
      </c>
      <c r="L8" s="15"/>
      <c r="M8" s="15"/>
      <c r="N8" s="15"/>
      <c r="O8" s="15"/>
      <c r="P8" s="18"/>
      <c r="Q8" s="18"/>
      <c r="R8" s="18"/>
      <c r="S8" s="18"/>
    </row>
    <row r="9" spans="2:19" ht="20.25" customHeight="1" thickBot="1" x14ac:dyDescent="0.25">
      <c r="B9" s="19" t="s">
        <v>393</v>
      </c>
      <c r="C9" s="51" t="str">
        <f ca="1">K11</f>
        <v>Veli İle</v>
      </c>
      <c r="D9" s="52"/>
      <c r="E9" s="46" t="s">
        <v>394</v>
      </c>
      <c r="F9" s="47"/>
      <c r="G9" s="53" t="str">
        <f ca="1">K12</f>
        <v>Erkek</v>
      </c>
      <c r="H9" s="52"/>
      <c r="I9" s="15"/>
      <c r="J9" s="15" t="str">
        <f>"FormYanıtları1!U"&amp;$L$3+1</f>
        <v>FormYanıtları1!U2</v>
      </c>
      <c r="K9" s="26" t="str">
        <f t="shared" ca="1" si="0"/>
        <v>Baba</v>
      </c>
      <c r="L9" s="15"/>
      <c r="M9" s="15"/>
      <c r="N9" s="15"/>
      <c r="O9" s="15"/>
      <c r="P9" s="18"/>
      <c r="Q9" s="18"/>
      <c r="R9" s="18"/>
      <c r="S9" s="18"/>
    </row>
    <row r="10" spans="2:19" ht="20.25" customHeight="1" thickBot="1" x14ac:dyDescent="0.25">
      <c r="B10" s="19" t="s">
        <v>374</v>
      </c>
      <c r="C10" s="53" t="str">
        <f ca="1">K13</f>
        <v>Merveşehir Ortaokulu</v>
      </c>
      <c r="D10" s="73"/>
      <c r="E10" s="46" t="s">
        <v>375</v>
      </c>
      <c r="F10" s="47"/>
      <c r="G10" s="51" t="str">
        <f ca="1">K14</f>
        <v>6. SINIF</v>
      </c>
      <c r="H10" s="52"/>
      <c r="I10" s="15"/>
      <c r="J10" s="15" t="str">
        <f>"FormYanıtları1!x"&amp;$L$3+1</f>
        <v>FormYanıtları1!x2</v>
      </c>
      <c r="K10" s="26" t="str">
        <f t="shared" ca="1" si="0"/>
        <v/>
      </c>
      <c r="L10" s="15"/>
      <c r="M10" s="15"/>
      <c r="N10" s="15"/>
      <c r="O10" s="15"/>
      <c r="P10" s="18"/>
      <c r="Q10" s="18"/>
      <c r="R10" s="18"/>
      <c r="S10" s="18"/>
    </row>
    <row r="11" spans="2:19" ht="28.5" customHeight="1" thickBot="1" x14ac:dyDescent="0.25">
      <c r="B11" s="19" t="s">
        <v>395</v>
      </c>
      <c r="C11" s="51" t="str">
        <f ca="1">IF(K15="","",IF(K15="Anne Baba Birlikte","(X) Anne Baba Birlikte ( ) Anne ile ( ) Baba ile ( ) Büyük Ebeveyn ile ( ) Başka Akraba Yanında",IF(K15="Anne ile","( ) Anne Baba Birlikte ( X ) Anne ile ( ) Baba ile ( ) Büyük Ebeveyn ile ( ) Başka Akraba Yanında",IF(K15="Baba ile","( ) Anne Baba Birlikte (  ) Anne ile ( X ) Baba ile ( ) Büyük Ebeveyn ile ( ) Başka Akraba Yanında",IF(K15="Büyük Ebeveyn ile","( ) Anne Baba Birlikte ( ) Anne ile ( ) Baba ile ( X ) Büyük Ebeveyn ile ( ) Başka Akraba Yanında",IF(K15="Büyük Akraba Yanında","( ) Anne Baba Birlikte (  ) Anne ile ( ) Baba ile ( ) Büyük Ebeveyn ile ( X ) Başka Akraba Yanında",))))))</f>
        <v>(X) Anne Baba Birlikte ( ) Anne ile ( ) Baba ile ( ) Büyük Ebeveyn ile ( ) Başka Akraba Yanında</v>
      </c>
      <c r="D11" s="54"/>
      <c r="E11" s="54"/>
      <c r="F11" s="54"/>
      <c r="G11" s="54"/>
      <c r="H11" s="52"/>
      <c r="I11" s="15"/>
      <c r="J11" s="15" t="str">
        <f>"FormYanıtları1!Y"&amp;$L$3+1</f>
        <v>FormYanıtları1!Y2</v>
      </c>
      <c r="K11" s="26" t="str">
        <f t="shared" ca="1" si="0"/>
        <v>Veli İle</v>
      </c>
      <c r="L11" s="15"/>
      <c r="M11" s="15"/>
      <c r="N11" s="15"/>
      <c r="O11" s="15"/>
      <c r="P11" s="18"/>
      <c r="Q11" s="18"/>
      <c r="R11" s="18"/>
      <c r="S11" s="18"/>
    </row>
    <row r="12" spans="2:19" ht="20.25" customHeight="1" thickBot="1" x14ac:dyDescent="0.25">
      <c r="B12" s="19" t="s">
        <v>377</v>
      </c>
      <c r="C12" s="51" t="str">
        <f ca="1">K16</f>
        <v>Mervesehir mah 49024 nolu cad semiye apt kat 1 no 4</v>
      </c>
      <c r="D12" s="54"/>
      <c r="E12" s="54"/>
      <c r="F12" s="54"/>
      <c r="G12" s="54"/>
      <c r="H12" s="52"/>
      <c r="I12" s="15"/>
      <c r="J12" s="15" t="str">
        <f>"FormYanıtları1!z"&amp;$L$3+1</f>
        <v>FormYanıtları1!z2</v>
      </c>
      <c r="K12" s="26" t="str">
        <f t="shared" ref="K12:K26" ca="1" si="1">IF(INDIRECT(J12)=0,"",INDIRECT(J12))</f>
        <v>Erkek</v>
      </c>
      <c r="L12" s="15"/>
      <c r="M12" s="15"/>
      <c r="N12" s="15"/>
      <c r="O12" s="15"/>
      <c r="P12" s="18"/>
      <c r="Q12" s="18"/>
      <c r="R12" s="18"/>
      <c r="S12" s="18"/>
    </row>
    <row r="13" spans="2:19" ht="15.75" thickBot="1" x14ac:dyDescent="0.25">
      <c r="B13" s="20"/>
      <c r="C13" s="20"/>
      <c r="D13" s="42"/>
      <c r="E13" s="42"/>
      <c r="F13" s="42"/>
      <c r="G13" s="42"/>
      <c r="H13" s="42"/>
      <c r="I13" s="15"/>
      <c r="J13" s="15" t="str">
        <f>"FormYanıtları1!g"&amp;$L$3+1</f>
        <v>FormYanıtları1!g2</v>
      </c>
      <c r="K13" s="26" t="str">
        <f t="shared" ca="1" si="1"/>
        <v>Merveşehir Ortaokulu</v>
      </c>
      <c r="L13" s="15"/>
      <c r="M13" s="15"/>
      <c r="N13" s="15"/>
      <c r="O13" s="15"/>
      <c r="P13" s="18"/>
      <c r="Q13" s="18"/>
      <c r="R13" s="18"/>
      <c r="S13" s="18"/>
    </row>
    <row r="14" spans="2:19" ht="27.75" customHeight="1" thickBot="1" x14ac:dyDescent="0.25">
      <c r="B14" s="21" t="s">
        <v>378</v>
      </c>
      <c r="C14" s="22" t="s">
        <v>379</v>
      </c>
      <c r="D14" s="41" t="s">
        <v>380</v>
      </c>
      <c r="E14" s="42"/>
      <c r="F14" s="42"/>
      <c r="G14" s="42"/>
      <c r="H14" s="43"/>
      <c r="I14" s="15"/>
      <c r="J14" s="15" t="str">
        <f>"FormYanıtları1!f"&amp;$L$3+1</f>
        <v>FormYanıtları1!f2</v>
      </c>
      <c r="K14" s="26" t="str">
        <f t="shared" ca="1" si="1"/>
        <v>6. SINIF</v>
      </c>
      <c r="L14" s="15"/>
      <c r="M14" s="15"/>
      <c r="N14" s="15"/>
      <c r="O14" s="15"/>
      <c r="P14" s="18"/>
      <c r="Q14" s="18"/>
      <c r="R14" s="18"/>
      <c r="S14" s="18"/>
    </row>
    <row r="15" spans="2:19" ht="28.5" customHeight="1" thickBot="1" x14ac:dyDescent="0.25">
      <c r="B15" s="19" t="s">
        <v>381</v>
      </c>
      <c r="C15" s="34" t="str">
        <f ca="1">K17</f>
        <v>Ömer ŞAHİN</v>
      </c>
      <c r="D15" s="46" t="s">
        <v>381</v>
      </c>
      <c r="E15" s="47"/>
      <c r="F15" s="44" t="str">
        <f ca="1">K22</f>
        <v>Arzu ŞAHİN</v>
      </c>
      <c r="G15" s="55"/>
      <c r="H15" s="45"/>
      <c r="I15" s="15"/>
      <c r="J15" s="15" t="str">
        <f>"FormYanıtları1!AA"&amp;$L$3+1</f>
        <v>FormYanıtları1!AA2</v>
      </c>
      <c r="K15" s="26" t="str">
        <f ca="1">IF(INDIRECT(J15)=0,"",INDIRECT(J15))</f>
        <v>Anne Baba Birlikte</v>
      </c>
      <c r="L15" s="15"/>
      <c r="M15" s="15"/>
      <c r="N15" s="15"/>
      <c r="O15" s="15"/>
      <c r="P15" s="18"/>
      <c r="Q15" s="18"/>
      <c r="R15" s="18"/>
      <c r="S15" s="18"/>
    </row>
    <row r="16" spans="2:19" ht="20.25" customHeight="1" thickBot="1" x14ac:dyDescent="0.25">
      <c r="B16" s="19" t="s">
        <v>382</v>
      </c>
      <c r="C16" s="34" t="str">
        <f ca="1">K18</f>
        <v>Polis memuru</v>
      </c>
      <c r="D16" s="46" t="s">
        <v>382</v>
      </c>
      <c r="E16" s="47"/>
      <c r="F16" s="44" t="str">
        <f ca="1">K23</f>
        <v xml:space="preserve">Hemşire </v>
      </c>
      <c r="G16" s="55"/>
      <c r="H16" s="45"/>
      <c r="I16" s="15"/>
      <c r="J16" s="15" t="str">
        <f>"FormYanıtları1!V"&amp;$L$3+1</f>
        <v>FormYanıtları1!V2</v>
      </c>
      <c r="K16" s="26" t="str">
        <f t="shared" ca="1" si="1"/>
        <v>Mervesehir mah 49024 nolu cad semiye apt kat 1 no 4</v>
      </c>
      <c r="L16" s="15"/>
      <c r="M16" s="15"/>
      <c r="N16" s="15"/>
      <c r="O16" s="15"/>
      <c r="P16" s="18"/>
      <c r="Q16" s="18"/>
      <c r="R16" s="18"/>
      <c r="S16" s="18"/>
    </row>
    <row r="17" spans="2:19" ht="28.5" customHeight="1" thickBot="1" x14ac:dyDescent="0.25">
      <c r="B17" s="19" t="s">
        <v>383</v>
      </c>
      <c r="C17" s="34" t="str">
        <f ca="1">K19</f>
        <v xml:space="preserve">Emniyet genel müdürlüğü </v>
      </c>
      <c r="D17" s="46" t="s">
        <v>383</v>
      </c>
      <c r="E17" s="47"/>
      <c r="F17" s="44" t="str">
        <f ca="1">K24</f>
        <v xml:space="preserve">Şehitkamil devlet hastanesi </v>
      </c>
      <c r="G17" s="55"/>
      <c r="H17" s="45"/>
      <c r="I17" s="15"/>
      <c r="J17" s="15" t="str">
        <f>"FormYanıtları1!I"&amp;$L$3+1</f>
        <v>FormYanıtları1!I2</v>
      </c>
      <c r="K17" s="26" t="str">
        <f t="shared" ca="1" si="1"/>
        <v>Ömer ŞAHİN</v>
      </c>
      <c r="L17" s="15"/>
      <c r="M17" s="15"/>
      <c r="N17" s="15"/>
      <c r="O17" s="15"/>
      <c r="P17" s="18"/>
      <c r="Q17" s="18"/>
      <c r="R17" s="18"/>
      <c r="S17" s="18"/>
    </row>
    <row r="18" spans="2:19" ht="20.25" customHeight="1" thickBot="1" x14ac:dyDescent="0.25">
      <c r="B18" s="19" t="s">
        <v>384</v>
      </c>
      <c r="C18" s="23">
        <f ca="1">K20</f>
        <v>5076900418</v>
      </c>
      <c r="D18" s="46" t="s">
        <v>384</v>
      </c>
      <c r="E18" s="47"/>
      <c r="F18" s="59">
        <f ca="1">K25</f>
        <v>5076900417</v>
      </c>
      <c r="G18" s="60"/>
      <c r="H18" s="61"/>
      <c r="I18" s="15"/>
      <c r="J18" s="15" t="str">
        <f>"FormYanıtları1!L"&amp;$L$3+1</f>
        <v>FormYanıtları1!L2</v>
      </c>
      <c r="K18" s="26" t="str">
        <f t="shared" ca="1" si="1"/>
        <v>Polis memuru</v>
      </c>
      <c r="L18" s="15"/>
      <c r="M18" s="15"/>
      <c r="N18" s="15"/>
      <c r="O18" s="15"/>
      <c r="P18" s="18"/>
      <c r="Q18" s="18"/>
      <c r="R18" s="18"/>
      <c r="S18" s="18"/>
    </row>
    <row r="19" spans="2:19" ht="24.75" customHeight="1" thickBot="1" x14ac:dyDescent="0.25">
      <c r="B19" s="19" t="s">
        <v>385</v>
      </c>
      <c r="C19" s="34" t="str">
        <f ca="1">K21</f>
        <v/>
      </c>
      <c r="D19" s="46" t="s">
        <v>385</v>
      </c>
      <c r="E19" s="47"/>
      <c r="F19" s="44" t="str">
        <f ca="1">K26</f>
        <v>enes17.arzu@gmail.com</v>
      </c>
      <c r="G19" s="55"/>
      <c r="H19" s="45"/>
      <c r="I19" s="15"/>
      <c r="J19" s="15" t="str">
        <f>"FormYanıtları1!M"&amp;$L$3+1</f>
        <v>FormYanıtları1!M2</v>
      </c>
      <c r="K19" s="26" t="str">
        <f t="shared" ca="1" si="1"/>
        <v xml:space="preserve">Emniyet genel müdürlüğü </v>
      </c>
      <c r="L19" s="15"/>
      <c r="M19" s="15"/>
      <c r="N19" s="15"/>
      <c r="O19" s="15"/>
      <c r="P19" s="18"/>
      <c r="Q19" s="18"/>
      <c r="R19" s="18"/>
      <c r="S19" s="18"/>
    </row>
    <row r="20" spans="2:19" ht="18.75" thickBot="1" x14ac:dyDescent="0.25">
      <c r="B20" s="62"/>
      <c r="C20" s="62"/>
      <c r="D20" s="62"/>
      <c r="E20" s="62"/>
      <c r="F20" s="62"/>
      <c r="G20" s="62"/>
      <c r="H20" s="62"/>
      <c r="I20" s="15"/>
      <c r="J20" s="15" t="str">
        <f>"FormYanıtları1!J"&amp;$L$3+1</f>
        <v>FormYanıtları1!J2</v>
      </c>
      <c r="K20" s="26">
        <f t="shared" ca="1" si="1"/>
        <v>5076900418</v>
      </c>
      <c r="L20" s="15"/>
      <c r="M20" s="15"/>
      <c r="N20" s="15"/>
      <c r="O20" s="15"/>
      <c r="P20" s="18"/>
      <c r="Q20" s="18"/>
      <c r="R20" s="18"/>
      <c r="S20" s="18"/>
    </row>
    <row r="21" spans="2:19" ht="18.75" customHeight="1" thickBot="1" x14ac:dyDescent="0.25">
      <c r="B21" s="41" t="s">
        <v>386</v>
      </c>
      <c r="C21" s="42"/>
      <c r="D21" s="42"/>
      <c r="E21" s="42"/>
      <c r="F21" s="42"/>
      <c r="G21" s="42"/>
      <c r="H21" s="43"/>
      <c r="I21" s="15"/>
      <c r="J21" s="15" t="str">
        <f>"FormYanıtları1!K"&amp;$L$3+1</f>
        <v>FormYanıtları1!K2</v>
      </c>
      <c r="K21" s="26" t="str">
        <f t="shared" ca="1" si="1"/>
        <v/>
      </c>
      <c r="L21" s="15"/>
      <c r="M21" s="15"/>
      <c r="N21" s="15"/>
      <c r="O21" s="15"/>
      <c r="P21" s="18"/>
      <c r="Q21" s="18"/>
      <c r="R21" s="18"/>
      <c r="S21" s="18"/>
    </row>
    <row r="22" spans="2:19" x14ac:dyDescent="0.2">
      <c r="B22" s="56"/>
      <c r="C22" s="57"/>
      <c r="D22" s="57"/>
      <c r="E22" s="57"/>
      <c r="F22" s="57"/>
      <c r="G22" s="57"/>
      <c r="H22" s="58"/>
      <c r="I22" s="15"/>
      <c r="J22" s="15" t="str">
        <f>"FormYanıtları1!O"&amp;$L$3+1</f>
        <v>FormYanıtları1!O2</v>
      </c>
      <c r="K22" s="26" t="str">
        <f t="shared" ca="1" si="1"/>
        <v>Arzu ŞAHİN</v>
      </c>
      <c r="L22" s="15"/>
      <c r="M22" s="15"/>
      <c r="N22" s="15"/>
      <c r="O22" s="15"/>
      <c r="P22" s="18"/>
      <c r="Q22" s="18"/>
      <c r="R22" s="18"/>
      <c r="S22" s="18"/>
    </row>
    <row r="23" spans="2:19" ht="93.75" customHeight="1" x14ac:dyDescent="0.2">
      <c r="B23" s="63" t="s">
        <v>387</v>
      </c>
      <c r="C23" s="64"/>
      <c r="D23" s="64"/>
      <c r="E23" s="64"/>
      <c r="F23" s="64"/>
      <c r="G23" s="64"/>
      <c r="H23" s="65"/>
      <c r="I23" s="15"/>
      <c r="J23" s="15" t="str">
        <f>"FormYanıtları1!R"&amp;$L$3+1</f>
        <v>FormYanıtları1!R2</v>
      </c>
      <c r="K23" s="26" t="str">
        <f t="shared" ca="1" si="1"/>
        <v xml:space="preserve">Hemşire </v>
      </c>
      <c r="L23" s="15"/>
      <c r="M23" s="15"/>
      <c r="N23" s="15"/>
      <c r="O23" s="15"/>
      <c r="P23" s="18"/>
      <c r="Q23" s="18"/>
      <c r="R23" s="18"/>
      <c r="S23" s="18"/>
    </row>
    <row r="24" spans="2:19" x14ac:dyDescent="0.2">
      <c r="B24" s="63"/>
      <c r="C24" s="64"/>
      <c r="D24" s="64"/>
      <c r="E24" s="64"/>
      <c r="F24" s="64"/>
      <c r="G24" s="64"/>
      <c r="H24" s="65"/>
      <c r="I24" s="15"/>
      <c r="J24" s="15" t="str">
        <f>"FormYanıtları1!S"&amp;$L$3+1</f>
        <v>FormYanıtları1!S2</v>
      </c>
      <c r="K24" s="26" t="str">
        <f t="shared" ca="1" si="1"/>
        <v xml:space="preserve">Şehitkamil devlet hastanesi </v>
      </c>
      <c r="L24" s="15"/>
      <c r="M24" s="15"/>
      <c r="N24" s="15"/>
      <c r="O24" s="15"/>
      <c r="P24" s="18"/>
      <c r="Q24" s="18"/>
      <c r="R24" s="18"/>
      <c r="S24" s="18"/>
    </row>
    <row r="25" spans="2:19" ht="12" customHeight="1" x14ac:dyDescent="0.2">
      <c r="B25" s="24"/>
      <c r="C25" s="14"/>
      <c r="D25" s="14"/>
      <c r="E25" s="14"/>
      <c r="F25" s="66" t="s">
        <v>388</v>
      </c>
      <c r="G25" s="66"/>
      <c r="H25" s="67"/>
      <c r="I25" s="15"/>
      <c r="J25" s="15" t="str">
        <f>"FormYanıtları1!p"&amp;$L$3+1</f>
        <v>FormYanıtları1!p2</v>
      </c>
      <c r="K25" s="26">
        <f t="shared" ca="1" si="1"/>
        <v>5076900417</v>
      </c>
      <c r="L25" s="15"/>
      <c r="M25" s="15"/>
      <c r="N25" s="15"/>
      <c r="O25" s="15"/>
      <c r="P25" s="18"/>
      <c r="Q25" s="18"/>
      <c r="R25" s="18"/>
      <c r="S25" s="18"/>
    </row>
    <row r="26" spans="2:19" ht="15" customHeight="1" x14ac:dyDescent="0.2">
      <c r="B26" s="24"/>
      <c r="C26" s="14"/>
      <c r="D26" s="14"/>
      <c r="E26" s="14"/>
      <c r="F26" s="66" t="str">
        <f ca="1">IF(K9="Anne",K22,K17)</f>
        <v>Ömer ŞAHİN</v>
      </c>
      <c r="G26" s="66"/>
      <c r="H26" s="67"/>
      <c r="I26" s="15"/>
      <c r="J26" s="15" t="str">
        <f>"FormYanıtları1!q"&amp;$L$3+1</f>
        <v>FormYanıtları1!q2</v>
      </c>
      <c r="K26" s="26" t="str">
        <f t="shared" ca="1" si="1"/>
        <v>enes17.arzu@gmail.com</v>
      </c>
      <c r="L26" s="15"/>
      <c r="M26" s="15"/>
      <c r="N26" s="15"/>
      <c r="O26" s="15"/>
      <c r="P26" s="18"/>
      <c r="Q26" s="18"/>
      <c r="R26" s="18"/>
      <c r="S26" s="18"/>
    </row>
    <row r="27" spans="2:19" ht="12" customHeight="1" x14ac:dyDescent="0.2">
      <c r="B27" s="25"/>
      <c r="C27" s="14"/>
      <c r="D27" s="14"/>
      <c r="E27" s="14"/>
      <c r="F27" s="68">
        <f ca="1">TODAY()</f>
        <v>45930</v>
      </c>
      <c r="G27" s="68"/>
      <c r="H27" s="69"/>
      <c r="I27" s="15"/>
      <c r="J27" s="15"/>
      <c r="K27" s="29"/>
      <c r="L27" s="15"/>
      <c r="M27" s="15"/>
      <c r="N27" s="15"/>
      <c r="O27" s="15"/>
      <c r="P27" s="18"/>
      <c r="Q27" s="18"/>
      <c r="R27" s="18"/>
      <c r="S27" s="18"/>
    </row>
    <row r="28" spans="2:19" ht="10.5" customHeight="1" thickBot="1" x14ac:dyDescent="0.25">
      <c r="B28" s="70"/>
      <c r="C28" s="71"/>
      <c r="D28" s="71"/>
      <c r="E28" s="71"/>
      <c r="F28" s="71"/>
      <c r="G28" s="71"/>
      <c r="H28" s="72"/>
      <c r="I28" s="15"/>
      <c r="J28" s="15"/>
      <c r="K28" s="28"/>
      <c r="L28" s="15"/>
      <c r="M28" s="15"/>
      <c r="N28" s="15"/>
      <c r="O28" s="15"/>
      <c r="P28" s="18"/>
      <c r="Q28" s="18"/>
      <c r="R28" s="18"/>
      <c r="S28" s="18"/>
    </row>
    <row r="29" spans="2:19" ht="18.75" thickBot="1" x14ac:dyDescent="0.25">
      <c r="B29" s="62"/>
      <c r="C29" s="62"/>
      <c r="D29" s="62"/>
      <c r="E29" s="62"/>
      <c r="F29" s="62"/>
      <c r="G29" s="62"/>
      <c r="H29" s="62"/>
      <c r="I29" s="15"/>
      <c r="J29" s="15"/>
      <c r="K29" s="15"/>
      <c r="L29" s="15"/>
      <c r="M29" s="15"/>
      <c r="N29" s="15"/>
      <c r="O29" s="15"/>
      <c r="P29" s="18"/>
      <c r="Q29" s="18"/>
      <c r="R29" s="18"/>
      <c r="S29" s="18"/>
    </row>
    <row r="30" spans="2:19" ht="17.25" customHeight="1" thickBot="1" x14ac:dyDescent="0.25">
      <c r="B30" s="41" t="s">
        <v>389</v>
      </c>
      <c r="C30" s="42"/>
      <c r="D30" s="42"/>
      <c r="E30" s="42"/>
      <c r="F30" s="42"/>
      <c r="G30" s="42"/>
      <c r="H30" s="43"/>
      <c r="I30" s="15"/>
      <c r="J30" s="15"/>
      <c r="K30" s="15"/>
      <c r="L30" s="15"/>
      <c r="M30" s="15"/>
      <c r="N30" s="15"/>
      <c r="O30" s="15"/>
      <c r="P30" s="18"/>
      <c r="Q30" s="18"/>
      <c r="R30" s="18"/>
      <c r="S30" s="18"/>
    </row>
    <row r="31" spans="2:19" ht="8.25" customHeight="1" x14ac:dyDescent="0.2">
      <c r="B31" s="56"/>
      <c r="C31" s="57"/>
      <c r="D31" s="57"/>
      <c r="E31" s="57"/>
      <c r="F31" s="57"/>
      <c r="G31" s="57"/>
      <c r="H31" s="58"/>
      <c r="I31" s="15"/>
      <c r="J31" s="15"/>
      <c r="K31" s="15"/>
      <c r="L31" s="15"/>
      <c r="M31" s="15"/>
      <c r="N31" s="15"/>
      <c r="O31" s="15"/>
      <c r="P31" s="18"/>
      <c r="Q31" s="18"/>
      <c r="R31" s="18"/>
      <c r="S31" s="18"/>
    </row>
    <row r="32" spans="2:19" ht="76.5" customHeight="1" x14ac:dyDescent="0.2">
      <c r="B32" s="63" t="s">
        <v>390</v>
      </c>
      <c r="C32" s="64"/>
      <c r="D32" s="64"/>
      <c r="E32" s="64"/>
      <c r="F32" s="64"/>
      <c r="G32" s="64"/>
      <c r="H32" s="65"/>
      <c r="I32" s="15"/>
      <c r="J32" s="15"/>
      <c r="K32" s="15"/>
      <c r="L32" s="15"/>
      <c r="M32" s="15"/>
      <c r="N32" s="15"/>
      <c r="O32" s="15"/>
      <c r="P32" s="18"/>
      <c r="Q32" s="18"/>
      <c r="R32" s="18"/>
      <c r="S32" s="18"/>
    </row>
    <row r="33" spans="2:19" x14ac:dyDescent="0.2">
      <c r="B33" s="63"/>
      <c r="C33" s="64"/>
      <c r="D33" s="64"/>
      <c r="E33" s="64"/>
      <c r="F33" s="64"/>
      <c r="G33" s="64"/>
      <c r="H33" s="65"/>
      <c r="I33" s="15"/>
      <c r="J33" s="15"/>
      <c r="K33" s="15"/>
      <c r="L33" s="15"/>
      <c r="M33" s="15"/>
      <c r="N33" s="15"/>
      <c r="O33" s="15"/>
      <c r="P33" s="18"/>
      <c r="Q33" s="18"/>
      <c r="R33" s="18"/>
      <c r="S33" s="18"/>
    </row>
    <row r="34" spans="2:19" ht="17.25" customHeight="1" x14ac:dyDescent="0.2">
      <c r="B34" s="24"/>
      <c r="C34" s="14"/>
      <c r="D34" s="14"/>
      <c r="E34" s="14"/>
      <c r="F34" s="66" t="s">
        <v>388</v>
      </c>
      <c r="G34" s="66"/>
      <c r="H34" s="67"/>
      <c r="I34" s="15"/>
      <c r="J34" s="15"/>
      <c r="K34" s="15"/>
      <c r="L34" s="15"/>
      <c r="M34" s="15"/>
      <c r="N34" s="15"/>
      <c r="O34" s="15"/>
      <c r="P34" s="18"/>
      <c r="Q34" s="18"/>
      <c r="R34" s="18"/>
      <c r="S34" s="18"/>
    </row>
    <row r="35" spans="2:19" x14ac:dyDescent="0.2">
      <c r="B35" s="24"/>
      <c r="C35" s="14"/>
      <c r="D35" s="14"/>
      <c r="E35" s="14"/>
      <c r="F35" s="66" t="str">
        <f ca="1">F26</f>
        <v>Ömer ŞAHİN</v>
      </c>
      <c r="G35" s="66"/>
      <c r="H35" s="67"/>
      <c r="I35" s="15"/>
      <c r="J35" s="15"/>
      <c r="K35" s="15"/>
      <c r="L35" s="15"/>
      <c r="M35" s="15"/>
      <c r="N35" s="15"/>
      <c r="O35" s="15"/>
      <c r="P35" s="18"/>
      <c r="Q35" s="18"/>
      <c r="R35" s="18"/>
      <c r="S35" s="18"/>
    </row>
    <row r="36" spans="2:19" ht="17.25" customHeight="1" x14ac:dyDescent="0.2">
      <c r="B36" s="25"/>
      <c r="C36" s="14"/>
      <c r="D36" s="14"/>
      <c r="E36" s="14"/>
      <c r="F36" s="68">
        <f ca="1">F27</f>
        <v>45930</v>
      </c>
      <c r="G36" s="68"/>
      <c r="H36" s="69"/>
      <c r="I36" s="15"/>
      <c r="J36" s="15"/>
      <c r="K36" s="15"/>
      <c r="L36" s="15"/>
      <c r="M36" s="15"/>
      <c r="N36" s="15"/>
      <c r="O36" s="15"/>
      <c r="P36" s="18"/>
      <c r="Q36" s="18"/>
      <c r="R36" s="18"/>
      <c r="S36" s="18"/>
    </row>
    <row r="37" spans="2:19" ht="13.5" customHeight="1" thickBot="1" x14ac:dyDescent="0.25">
      <c r="B37" s="70"/>
      <c r="C37" s="71"/>
      <c r="D37" s="71"/>
      <c r="E37" s="71"/>
      <c r="F37" s="71"/>
      <c r="G37" s="71"/>
      <c r="H37" s="72"/>
      <c r="I37" s="15"/>
      <c r="J37" s="15"/>
      <c r="K37" s="15"/>
      <c r="L37" s="15"/>
      <c r="M37" s="15"/>
      <c r="N37" s="15"/>
      <c r="O37" s="15"/>
      <c r="P37" s="18"/>
      <c r="Q37" s="18"/>
      <c r="R37" s="18"/>
      <c r="S37" s="18"/>
    </row>
    <row r="38" spans="2:19" x14ac:dyDescent="0.2">
      <c r="I38" s="15"/>
      <c r="J38" s="15"/>
      <c r="K38" s="15"/>
      <c r="L38" s="15"/>
      <c r="M38" s="15"/>
      <c r="N38" s="15"/>
      <c r="O38" s="15"/>
      <c r="P38" s="18"/>
      <c r="Q38" s="18"/>
      <c r="R38" s="18"/>
      <c r="S38" s="18"/>
    </row>
    <row r="39" spans="2:19" x14ac:dyDescent="0.2">
      <c r="I39" s="15"/>
      <c r="J39" s="15"/>
      <c r="K39" s="15"/>
      <c r="L39" s="15"/>
      <c r="M39" s="15"/>
      <c r="N39" s="15"/>
      <c r="O39" s="15"/>
      <c r="P39" s="18"/>
      <c r="Q39" s="18"/>
      <c r="R39" s="18"/>
      <c r="S39" s="18"/>
    </row>
    <row r="40" spans="2:19" x14ac:dyDescent="0.2">
      <c r="I40" s="18"/>
      <c r="J40" s="18"/>
      <c r="K40" s="18"/>
      <c r="L40" s="18"/>
      <c r="M40" s="18"/>
      <c r="N40" s="18"/>
      <c r="O40" s="18"/>
      <c r="P40" s="18"/>
      <c r="Q40" s="18"/>
      <c r="R40" s="18"/>
      <c r="S40" s="18"/>
    </row>
  </sheetData>
  <mergeCells count="56">
    <mergeCell ref="F34:H34"/>
    <mergeCell ref="F35:H35"/>
    <mergeCell ref="F36:H36"/>
    <mergeCell ref="B37:H37"/>
    <mergeCell ref="C8:D8"/>
    <mergeCell ref="E8:F8"/>
    <mergeCell ref="G8:H8"/>
    <mergeCell ref="C10:D10"/>
    <mergeCell ref="E10:F10"/>
    <mergeCell ref="B29:D29"/>
    <mergeCell ref="E29:H29"/>
    <mergeCell ref="B30:H30"/>
    <mergeCell ref="B31:H31"/>
    <mergeCell ref="B32:H32"/>
    <mergeCell ref="B33:H33"/>
    <mergeCell ref="B23:H23"/>
    <mergeCell ref="B24:H24"/>
    <mergeCell ref="F25:H25"/>
    <mergeCell ref="F26:H26"/>
    <mergeCell ref="F27:H27"/>
    <mergeCell ref="B28:H28"/>
    <mergeCell ref="B22:H22"/>
    <mergeCell ref="D16:E16"/>
    <mergeCell ref="F16:H16"/>
    <mergeCell ref="D17:E17"/>
    <mergeCell ref="F17:H17"/>
    <mergeCell ref="D18:E18"/>
    <mergeCell ref="F18:H18"/>
    <mergeCell ref="D19:E19"/>
    <mergeCell ref="F19:H19"/>
    <mergeCell ref="B20:D20"/>
    <mergeCell ref="E20:H20"/>
    <mergeCell ref="B21:H21"/>
    <mergeCell ref="C12:H12"/>
    <mergeCell ref="D13:H13"/>
    <mergeCell ref="D14:H14"/>
    <mergeCell ref="D15:E15"/>
    <mergeCell ref="F15:H15"/>
    <mergeCell ref="C9:D9"/>
    <mergeCell ref="E9:F9"/>
    <mergeCell ref="G9:H9"/>
    <mergeCell ref="G10:H10"/>
    <mergeCell ref="C11:H11"/>
    <mergeCell ref="B5:H5"/>
    <mergeCell ref="C6:D6"/>
    <mergeCell ref="E6:F6"/>
    <mergeCell ref="G6:H6"/>
    <mergeCell ref="C7:D7"/>
    <mergeCell ref="E7:F7"/>
    <mergeCell ref="G7:H7"/>
    <mergeCell ref="B4:H4"/>
    <mergeCell ref="B1:B3"/>
    <mergeCell ref="C1:G1"/>
    <mergeCell ref="H1:H3"/>
    <mergeCell ref="C2:G2"/>
    <mergeCell ref="C3:G3"/>
  </mergeCells>
  <pageMargins left="0.19685039370078741" right="0.11811023622047245" top="0.19685039370078741" bottom="0" header="0.31496062992125984" footer="0.31496062992125984"/>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List Box 1">
              <controlPr defaultSize="0" autoLine="0" autoPict="0">
                <anchor moveWithCells="1">
                  <from>
                    <xdr:col>10</xdr:col>
                    <xdr:colOff>95250</xdr:colOff>
                    <xdr:row>0</xdr:row>
                    <xdr:rowOff>152400</xdr:rowOff>
                  </from>
                  <to>
                    <xdr:col>11</xdr:col>
                    <xdr:colOff>600075</xdr:colOff>
                    <xdr:row>3</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A1C1-B24F-41E5-8BCC-22BB126F5FB6}">
  <dimension ref="B1:S40"/>
  <sheetViews>
    <sheetView workbookViewId="0">
      <selection activeCell="J27" sqref="J27"/>
    </sheetView>
  </sheetViews>
  <sheetFormatPr defaultRowHeight="14.25" x14ac:dyDescent="0.2"/>
  <cols>
    <col min="1" max="1" width="9.140625" style="16"/>
    <col min="2" max="2" width="15.5703125" style="16" customWidth="1"/>
    <col min="3" max="3" width="35" style="16" customWidth="1"/>
    <col min="4" max="4" width="9.42578125" style="16" customWidth="1"/>
    <col min="5" max="5" width="5.28515625" style="16" customWidth="1"/>
    <col min="6" max="6" width="11.5703125" style="16" customWidth="1"/>
    <col min="7" max="7" width="7.42578125" style="16" customWidth="1"/>
    <col min="8" max="8" width="16.28515625" style="16" customWidth="1"/>
    <col min="9" max="9" width="9.140625" style="16"/>
    <col min="10" max="10" width="17.7109375" style="16" customWidth="1"/>
    <col min="11" max="11" width="14.42578125" style="16" customWidth="1"/>
    <col min="12" max="16384" width="9.140625" style="16"/>
  </cols>
  <sheetData>
    <row r="1" spans="2:19" ht="20.25" customHeight="1" x14ac:dyDescent="0.2">
      <c r="B1" s="37"/>
      <c r="C1" s="38" t="s">
        <v>367</v>
      </c>
      <c r="D1" s="38"/>
      <c r="E1" s="38"/>
      <c r="F1" s="38"/>
      <c r="G1" s="38"/>
      <c r="H1" s="37"/>
      <c r="I1" s="15"/>
      <c r="J1" s="15"/>
      <c r="K1" s="15"/>
      <c r="L1" s="15"/>
      <c r="M1" s="15"/>
      <c r="N1" s="15"/>
      <c r="O1" s="15"/>
    </row>
    <row r="2" spans="2:19" ht="20.25" customHeight="1" x14ac:dyDescent="0.2">
      <c r="B2" s="37"/>
      <c r="C2" s="39" t="s">
        <v>368</v>
      </c>
      <c r="D2" s="39"/>
      <c r="E2" s="39"/>
      <c r="F2" s="39"/>
      <c r="G2" s="39"/>
      <c r="H2" s="37"/>
      <c r="I2" s="15"/>
      <c r="J2" s="15"/>
      <c r="K2" s="17"/>
      <c r="L2" s="17"/>
      <c r="M2" s="17"/>
      <c r="N2" s="15"/>
      <c r="O2" s="15"/>
      <c r="P2" s="18"/>
      <c r="Q2" s="18"/>
    </row>
    <row r="3" spans="2:19" ht="30" customHeight="1" x14ac:dyDescent="0.2">
      <c r="B3" s="37"/>
      <c r="C3" s="40" t="s">
        <v>391</v>
      </c>
      <c r="D3" s="40"/>
      <c r="E3" s="40"/>
      <c r="F3" s="40"/>
      <c r="G3" s="40"/>
      <c r="H3" s="37"/>
      <c r="I3" s="15"/>
      <c r="J3" s="15"/>
      <c r="K3" s="17"/>
      <c r="L3" s="17">
        <v>7</v>
      </c>
      <c r="M3" s="17"/>
      <c r="N3" s="15"/>
      <c r="O3" s="15"/>
      <c r="P3" s="18"/>
      <c r="Q3" s="18"/>
    </row>
    <row r="4" spans="2:19" ht="18.75" thickBot="1" x14ac:dyDescent="0.25">
      <c r="B4" s="36"/>
      <c r="C4" s="36"/>
      <c r="D4" s="36"/>
      <c r="E4" s="36"/>
      <c r="F4" s="36"/>
      <c r="G4" s="36"/>
      <c r="H4" s="36"/>
      <c r="I4" s="15"/>
      <c r="J4" s="15"/>
      <c r="K4" s="17"/>
      <c r="L4" s="17"/>
      <c r="M4" s="17"/>
      <c r="N4" s="15"/>
      <c r="O4" s="15"/>
      <c r="P4" s="18"/>
      <c r="Q4" s="18"/>
    </row>
    <row r="5" spans="2:19" ht="15.75" thickBot="1" x14ac:dyDescent="0.25">
      <c r="B5" s="41" t="s">
        <v>369</v>
      </c>
      <c r="C5" s="42"/>
      <c r="D5" s="42"/>
      <c r="E5" s="42"/>
      <c r="F5" s="42"/>
      <c r="G5" s="42"/>
      <c r="H5" s="43"/>
      <c r="I5" s="15"/>
      <c r="J5" s="15" t="str">
        <f>"eBilsem!B"&amp;$L$3+1</f>
        <v>eBilsem!B8</v>
      </c>
      <c r="K5" s="26" t="str">
        <f ca="1">IF(INDIRECT(J5)=0,"",INDIRECT(J5))</f>
        <v>ANIL DÜNDAR</v>
      </c>
      <c r="L5" s="17"/>
      <c r="M5" s="17"/>
      <c r="N5" s="15"/>
      <c r="O5" s="15"/>
      <c r="P5" s="18"/>
      <c r="Q5" s="18"/>
    </row>
    <row r="6" spans="2:19" ht="20.25" customHeight="1" thickBot="1" x14ac:dyDescent="0.25">
      <c r="B6" s="19" t="s">
        <v>370</v>
      </c>
      <c r="C6" s="44" t="str">
        <f ca="1">K5</f>
        <v>ANIL DÜNDAR</v>
      </c>
      <c r="D6" s="45"/>
      <c r="E6" s="46" t="s">
        <v>371</v>
      </c>
      <c r="F6" s="47"/>
      <c r="G6" s="48" t="str">
        <f ca="1">K6</f>
        <v/>
      </c>
      <c r="H6" s="45"/>
      <c r="I6" s="15"/>
      <c r="J6" s="15" t="str">
        <f>"eBilsem!AE"&amp;$L$3+1</f>
        <v>eBilsem!AE8</v>
      </c>
      <c r="K6" s="27" t="str">
        <f t="shared" ref="K5:K26" ca="1" si="0">IF(INDIRECT(J6)=0,"",INDIRECT(J6))</f>
        <v/>
      </c>
      <c r="L6" s="15"/>
      <c r="M6" s="15"/>
      <c r="N6" s="15"/>
      <c r="O6" s="15"/>
      <c r="P6" s="18"/>
      <c r="Q6" s="18"/>
      <c r="R6" s="18"/>
      <c r="S6" s="18"/>
    </row>
    <row r="7" spans="2:19" ht="20.25" customHeight="1" thickBot="1" x14ac:dyDescent="0.25">
      <c r="B7" s="19" t="s">
        <v>372</v>
      </c>
      <c r="C7" s="44" t="str">
        <f ca="1">K7</f>
        <v>ANKARA</v>
      </c>
      <c r="D7" s="45"/>
      <c r="E7" s="46" t="s">
        <v>373</v>
      </c>
      <c r="F7" s="47"/>
      <c r="G7" s="49">
        <f ca="1">K8</f>
        <v>41787</v>
      </c>
      <c r="H7" s="50"/>
      <c r="I7" s="15"/>
      <c r="J7" s="15" t="str">
        <f>"eBilsem!U"&amp;$L$3+1</f>
        <v>eBilsem!U8</v>
      </c>
      <c r="K7" s="28" t="str">
        <f t="shared" ca="1" si="0"/>
        <v>ANKARA</v>
      </c>
      <c r="L7" s="15"/>
      <c r="M7" s="15"/>
      <c r="N7" s="15"/>
      <c r="O7" s="15"/>
      <c r="P7" s="18"/>
      <c r="Q7" s="18"/>
      <c r="R7" s="18"/>
      <c r="S7" s="18"/>
    </row>
    <row r="8" spans="2:19" ht="20.25" customHeight="1" thickBot="1" x14ac:dyDescent="0.25">
      <c r="B8" s="19" t="s">
        <v>392</v>
      </c>
      <c r="C8" s="51" t="str">
        <f ca="1">IF(K9="Anne","(X) Anne ( ) Baba ( ) Diğer",IF(K9="Baba","( ) Anne (X) Baba ( ) Diğer",IF(K9="Diğer","( ) Anne ( ) Baba (X) Diğer",)))</f>
        <v>(X) Anne ( ) Baba ( ) Diğer</v>
      </c>
      <c r="D8" s="54"/>
      <c r="E8" s="46" t="s">
        <v>376</v>
      </c>
      <c r="F8" s="47"/>
      <c r="G8" s="54" t="str">
        <f ca="1">K10</f>
        <v/>
      </c>
      <c r="H8" s="52"/>
      <c r="I8" s="15"/>
      <c r="J8" s="15" t="str">
        <f>"eBilsem!T"&amp;$L$3+1</f>
        <v>eBilsem!T8</v>
      </c>
      <c r="K8" s="28">
        <f t="shared" ca="1" si="0"/>
        <v>41787</v>
      </c>
      <c r="L8" s="15"/>
      <c r="M8" s="15"/>
      <c r="N8" s="15"/>
      <c r="O8" s="15"/>
      <c r="P8" s="18"/>
      <c r="Q8" s="18"/>
      <c r="R8" s="18"/>
      <c r="S8" s="18"/>
    </row>
    <row r="9" spans="2:19" ht="20.25" customHeight="1" thickBot="1" x14ac:dyDescent="0.25">
      <c r="B9" s="19" t="s">
        <v>393</v>
      </c>
      <c r="C9" s="51" t="str">
        <f ca="1">K11</f>
        <v>Veliyle</v>
      </c>
      <c r="D9" s="52"/>
      <c r="E9" s="46" t="s">
        <v>394</v>
      </c>
      <c r="F9" s="47"/>
      <c r="G9" s="53" t="str">
        <f ca="1">K12</f>
        <v>ERKEK</v>
      </c>
      <c r="H9" s="52"/>
      <c r="I9" s="15"/>
      <c r="J9" s="15" t="str">
        <f>"eBilsem!X"&amp;$L$3+1</f>
        <v>eBilsem!X8</v>
      </c>
      <c r="K9" s="26" t="str">
        <f t="shared" ca="1" si="0"/>
        <v>ANNE</v>
      </c>
      <c r="L9" s="15"/>
      <c r="M9" s="15"/>
      <c r="N9" s="15"/>
      <c r="O9" s="15"/>
      <c r="P9" s="18"/>
      <c r="Q9" s="18"/>
      <c r="R9" s="18"/>
      <c r="S9" s="18"/>
    </row>
    <row r="10" spans="2:19" ht="20.25" customHeight="1" thickBot="1" x14ac:dyDescent="0.25">
      <c r="B10" s="19" t="s">
        <v>374</v>
      </c>
      <c r="C10" s="53" t="str">
        <f ca="1">K13</f>
        <v/>
      </c>
      <c r="D10" s="73"/>
      <c r="E10" s="46" t="s">
        <v>375</v>
      </c>
      <c r="F10" s="47"/>
      <c r="G10" s="51" t="str">
        <f ca="1">K14</f>
        <v>6. Sınıf</v>
      </c>
      <c r="H10" s="52"/>
      <c r="I10" s="15"/>
      <c r="J10" s="15" t="str">
        <f>"eBilsem!AF"&amp;$L$3+1</f>
        <v>eBilsem!AF8</v>
      </c>
      <c r="K10" s="26" t="str">
        <f t="shared" ca="1" si="0"/>
        <v/>
      </c>
      <c r="L10" s="15"/>
      <c r="M10" s="15"/>
      <c r="N10" s="15"/>
      <c r="O10" s="15"/>
      <c r="P10" s="18"/>
      <c r="Q10" s="18"/>
      <c r="R10" s="18"/>
      <c r="S10" s="18"/>
    </row>
    <row r="11" spans="2:19" ht="28.5" customHeight="1" thickBot="1" x14ac:dyDescent="0.25">
      <c r="B11" s="19" t="s">
        <v>395</v>
      </c>
      <c r="C11" s="51" t="str">
        <f ca="1">IF(K15="","",IF(K15="Anne Baba Birlikte","(X) Anne Baba Birlikte ( ) Anne ile ( ) Baba ile ( ) Büyük Ebeveyn ile ( ) Başka Akraba Yanında",IF(K15="Anne ile","( ) Anne Baba Birlikte ( X ) Anne ile ( ) Baba ile ( ) Büyük Ebeveyn ile ( ) Başka Akraba Yanında",IF(K15="Baba ile","( ) Anne Baba Birlikte (  ) Anne ile ( X ) Baba ile ( ) Büyük Ebeveyn ile ( ) Başka Akraba Yanında",IF(K15="Büyük Ebeveyn ile","( ) Anne Baba Birlikte ( ) Anne ile ( ) Baba ile ( X ) Büyük Ebeveyn ile ( ) Başka Akraba Yanında",IF(K15="Büyük Akraba Yanında","( ) Anne Baba Birlikte (  ) Anne ile ( ) Baba ile ( ) Büyük Ebeveyn ile ( X ) Başka Akraba Yanında",))))))</f>
        <v/>
      </c>
      <c r="D11" s="54"/>
      <c r="E11" s="54"/>
      <c r="F11" s="54"/>
      <c r="G11" s="54"/>
      <c r="H11" s="52"/>
      <c r="I11" s="15"/>
      <c r="J11" s="15" t="str">
        <f>"eBilsem!K"&amp;$L$3+1</f>
        <v>eBilsem!K8</v>
      </c>
      <c r="K11" s="26" t="str">
        <f t="shared" ca="1" si="0"/>
        <v>Veliyle</v>
      </c>
      <c r="L11" s="15"/>
      <c r="M11" s="15"/>
      <c r="N11" s="15"/>
      <c r="O11" s="15"/>
      <c r="P11" s="18"/>
      <c r="Q11" s="18"/>
      <c r="R11" s="18"/>
      <c r="S11" s="18"/>
    </row>
    <row r="12" spans="2:19" ht="20.25" customHeight="1" thickBot="1" x14ac:dyDescent="0.25">
      <c r="B12" s="19" t="s">
        <v>377</v>
      </c>
      <c r="C12" s="51" t="str">
        <f ca="1">K16</f>
        <v/>
      </c>
      <c r="D12" s="54"/>
      <c r="E12" s="54"/>
      <c r="F12" s="54"/>
      <c r="G12" s="54"/>
      <c r="H12" s="52"/>
      <c r="I12" s="15"/>
      <c r="J12" s="15" t="str">
        <f>"eBilsem!J"&amp;$L$3+1</f>
        <v>eBilsem!J8</v>
      </c>
      <c r="K12" s="26" t="str">
        <f t="shared" ca="1" si="0"/>
        <v>ERKEK</v>
      </c>
      <c r="L12" s="15"/>
      <c r="M12" s="15"/>
      <c r="N12" s="15"/>
      <c r="O12" s="15"/>
      <c r="P12" s="18"/>
      <c r="Q12" s="18"/>
      <c r="R12" s="18"/>
      <c r="S12" s="18"/>
    </row>
    <row r="13" spans="2:19" ht="15.75" thickBot="1" x14ac:dyDescent="0.25">
      <c r="B13" s="20"/>
      <c r="C13" s="20"/>
      <c r="D13" s="42"/>
      <c r="E13" s="42"/>
      <c r="F13" s="42"/>
      <c r="G13" s="42"/>
      <c r="H13" s="42"/>
      <c r="I13" s="15"/>
      <c r="J13" s="15" t="str">
        <f>"eBilsem!AG"&amp;$L$3+1</f>
        <v>eBilsem!AG8</v>
      </c>
      <c r="K13" s="26" t="str">
        <f t="shared" ca="1" si="0"/>
        <v/>
      </c>
      <c r="L13" s="15"/>
      <c r="M13" s="15"/>
      <c r="N13" s="15"/>
      <c r="O13" s="15"/>
      <c r="P13" s="18"/>
      <c r="Q13" s="18"/>
      <c r="R13" s="18"/>
      <c r="S13" s="18"/>
    </row>
    <row r="14" spans="2:19" ht="27.75" customHeight="1" thickBot="1" x14ac:dyDescent="0.25">
      <c r="B14" s="21" t="s">
        <v>378</v>
      </c>
      <c r="C14" s="22" t="s">
        <v>379</v>
      </c>
      <c r="D14" s="41" t="s">
        <v>380</v>
      </c>
      <c r="E14" s="42"/>
      <c r="F14" s="42"/>
      <c r="G14" s="42"/>
      <c r="H14" s="43"/>
      <c r="I14" s="15"/>
      <c r="J14" s="15" t="str">
        <f>"eBilsem!AC"&amp;$L$3+1</f>
        <v>eBilsem!AC8</v>
      </c>
      <c r="K14" s="26" t="str">
        <f t="shared" ca="1" si="0"/>
        <v>6. Sınıf</v>
      </c>
      <c r="L14" s="15"/>
      <c r="M14" s="15"/>
      <c r="N14" s="15"/>
      <c r="O14" s="15"/>
      <c r="P14" s="18"/>
      <c r="Q14" s="18"/>
      <c r="R14" s="18"/>
      <c r="S14" s="18"/>
    </row>
    <row r="15" spans="2:19" ht="28.5" customHeight="1" thickBot="1" x14ac:dyDescent="0.25">
      <c r="B15" s="19" t="s">
        <v>381</v>
      </c>
      <c r="C15" s="34" t="str">
        <f ca="1">K17</f>
        <v>TURGAY</v>
      </c>
      <c r="D15" s="46" t="s">
        <v>381</v>
      </c>
      <c r="E15" s="47"/>
      <c r="F15" s="44" t="str">
        <f ca="1">K22</f>
        <v>FATMA</v>
      </c>
      <c r="G15" s="55"/>
      <c r="H15" s="45"/>
      <c r="I15" s="15"/>
      <c r="J15" s="15" t="str">
        <f>"eBilsem!AH"&amp;$L$3+1</f>
        <v>eBilsem!AH8</v>
      </c>
      <c r="K15" s="26" t="str">
        <f ca="1">IF(INDIRECT(J15)=0,"",INDIRECT(J15))</f>
        <v/>
      </c>
      <c r="L15" s="15"/>
      <c r="M15" s="15"/>
      <c r="N15" s="15"/>
      <c r="O15" s="15"/>
      <c r="P15" s="18"/>
      <c r="Q15" s="18"/>
      <c r="R15" s="18"/>
      <c r="S15" s="18"/>
    </row>
    <row r="16" spans="2:19" ht="20.25" customHeight="1" thickBot="1" x14ac:dyDescent="0.25">
      <c r="B16" s="19" t="s">
        <v>382</v>
      </c>
      <c r="C16" s="34" t="str">
        <f ca="1">K18</f>
        <v>MEMUR</v>
      </c>
      <c r="D16" s="46" t="s">
        <v>382</v>
      </c>
      <c r="E16" s="47"/>
      <c r="F16" s="44" t="str">
        <f ca="1">K23</f>
        <v>ÖĞRETMEN</v>
      </c>
      <c r="G16" s="55"/>
      <c r="H16" s="45"/>
      <c r="I16" s="15"/>
      <c r="J16" s="15" t="str">
        <f>"eBilsem!AI"&amp;$L$3+1</f>
        <v>eBilsem!AI8</v>
      </c>
      <c r="K16" s="26" t="str">
        <f t="shared" ca="1" si="0"/>
        <v/>
      </c>
      <c r="L16" s="15"/>
      <c r="M16" s="15"/>
      <c r="N16" s="15"/>
      <c r="O16" s="15"/>
      <c r="P16" s="18"/>
      <c r="Q16" s="18"/>
      <c r="R16" s="18"/>
      <c r="S16" s="18"/>
    </row>
    <row r="17" spans="2:19" ht="28.5" customHeight="1" thickBot="1" x14ac:dyDescent="0.25">
      <c r="B17" s="19" t="s">
        <v>383</v>
      </c>
      <c r="C17" s="34" t="str">
        <f ca="1">K19</f>
        <v>CUMHURBAŞKANLIĞI</v>
      </c>
      <c r="D17" s="46" t="s">
        <v>383</v>
      </c>
      <c r="E17" s="47"/>
      <c r="F17" s="44" t="str">
        <f ca="1">K24</f>
        <v>MEB</v>
      </c>
      <c r="G17" s="55"/>
      <c r="H17" s="45"/>
      <c r="I17" s="15"/>
      <c r="J17" s="15" t="str">
        <f>"eBilsem!L"&amp;$L$3+1</f>
        <v>eBilsem!L8</v>
      </c>
      <c r="K17" s="26" t="str">
        <f t="shared" ca="1" si="0"/>
        <v>TURGAY</v>
      </c>
      <c r="L17" s="15"/>
      <c r="M17" s="15"/>
      <c r="N17" s="15"/>
      <c r="O17" s="15"/>
      <c r="P17" s="18"/>
      <c r="Q17" s="18"/>
      <c r="R17" s="18"/>
      <c r="S17" s="18"/>
    </row>
    <row r="18" spans="2:19" ht="20.25" customHeight="1" thickBot="1" x14ac:dyDescent="0.25">
      <c r="B18" s="19" t="s">
        <v>384</v>
      </c>
      <c r="C18" s="23" t="str">
        <f ca="1">K20</f>
        <v/>
      </c>
      <c r="D18" s="46" t="s">
        <v>384</v>
      </c>
      <c r="E18" s="47"/>
      <c r="F18" s="59" t="str">
        <f ca="1">K25</f>
        <v/>
      </c>
      <c r="G18" s="60"/>
      <c r="H18" s="61"/>
      <c r="I18" s="15"/>
      <c r="J18" s="15" t="str">
        <f>"eBilsem!M"&amp;$L$3+1</f>
        <v>eBilsem!M8</v>
      </c>
      <c r="K18" s="26" t="str">
        <f t="shared" ca="1" si="0"/>
        <v>MEMUR</v>
      </c>
      <c r="L18" s="15"/>
      <c r="M18" s="15"/>
      <c r="N18" s="15"/>
      <c r="O18" s="15"/>
      <c r="P18" s="18"/>
      <c r="Q18" s="18"/>
      <c r="R18" s="18"/>
      <c r="S18" s="18"/>
    </row>
    <row r="19" spans="2:19" ht="24.75" customHeight="1" thickBot="1" x14ac:dyDescent="0.25">
      <c r="B19" s="19" t="s">
        <v>385</v>
      </c>
      <c r="C19" s="34" t="str">
        <f ca="1">K21</f>
        <v/>
      </c>
      <c r="D19" s="46" t="s">
        <v>385</v>
      </c>
      <c r="E19" s="47"/>
      <c r="F19" s="44" t="str">
        <f ca="1">K26</f>
        <v/>
      </c>
      <c r="G19" s="55"/>
      <c r="H19" s="45"/>
      <c r="I19" s="15"/>
      <c r="J19" s="15" t="str">
        <f>"eBilsem!N"&amp;$L$3+1</f>
        <v>eBilsem!N8</v>
      </c>
      <c r="K19" s="26" t="str">
        <f t="shared" ca="1" si="0"/>
        <v>CUMHURBAŞKANLIĞI</v>
      </c>
      <c r="L19" s="15"/>
      <c r="M19" s="15"/>
      <c r="N19" s="15"/>
      <c r="O19" s="15"/>
      <c r="P19" s="18"/>
      <c r="Q19" s="18"/>
      <c r="R19" s="18"/>
      <c r="S19" s="18"/>
    </row>
    <row r="20" spans="2:19" ht="18.75" thickBot="1" x14ac:dyDescent="0.25">
      <c r="B20" s="62"/>
      <c r="C20" s="62"/>
      <c r="D20" s="62"/>
      <c r="E20" s="62"/>
      <c r="F20" s="62"/>
      <c r="G20" s="62"/>
      <c r="H20" s="62"/>
      <c r="I20" s="15"/>
      <c r="J20" s="15" t="str">
        <f>"eBilsem!AJ"&amp;$L$3+1</f>
        <v>eBilsem!AJ8</v>
      </c>
      <c r="K20" s="26" t="str">
        <f t="shared" ca="1" si="0"/>
        <v/>
      </c>
      <c r="L20" s="15"/>
      <c r="M20" s="15"/>
      <c r="N20" s="15"/>
      <c r="O20" s="15"/>
      <c r="P20" s="18"/>
      <c r="Q20" s="18"/>
      <c r="R20" s="18"/>
      <c r="S20" s="18"/>
    </row>
    <row r="21" spans="2:19" ht="18.75" customHeight="1" thickBot="1" x14ac:dyDescent="0.25">
      <c r="B21" s="41" t="s">
        <v>386</v>
      </c>
      <c r="C21" s="42"/>
      <c r="D21" s="42"/>
      <c r="E21" s="42"/>
      <c r="F21" s="42"/>
      <c r="G21" s="42"/>
      <c r="H21" s="43"/>
      <c r="I21" s="15"/>
      <c r="J21" s="15" t="str">
        <f>"eBilsem!AK"&amp;$L$3+1</f>
        <v>eBilsem!AK8</v>
      </c>
      <c r="K21" s="26" t="str">
        <f t="shared" ca="1" si="0"/>
        <v/>
      </c>
      <c r="L21" s="15"/>
      <c r="M21" s="15"/>
      <c r="N21" s="15"/>
      <c r="O21" s="15"/>
      <c r="P21" s="18"/>
      <c r="Q21" s="18"/>
      <c r="R21" s="18"/>
      <c r="S21" s="18"/>
    </row>
    <row r="22" spans="2:19" x14ac:dyDescent="0.2">
      <c r="B22" s="56"/>
      <c r="C22" s="57"/>
      <c r="D22" s="57"/>
      <c r="E22" s="57"/>
      <c r="F22" s="57"/>
      <c r="G22" s="57"/>
      <c r="H22" s="58"/>
      <c r="I22" s="15"/>
      <c r="J22" s="15" t="str">
        <f>"eBilsem!P"&amp;$L$3+1</f>
        <v>eBilsem!P8</v>
      </c>
      <c r="K22" s="26" t="str">
        <f t="shared" ca="1" si="0"/>
        <v>FATMA</v>
      </c>
      <c r="L22" s="15"/>
      <c r="M22" s="15"/>
      <c r="N22" s="15"/>
      <c r="O22" s="15"/>
      <c r="P22" s="18"/>
      <c r="Q22" s="18"/>
      <c r="R22" s="18"/>
      <c r="S22" s="18"/>
    </row>
    <row r="23" spans="2:19" ht="93.75" customHeight="1" x14ac:dyDescent="0.2">
      <c r="B23" s="63" t="s">
        <v>387</v>
      </c>
      <c r="C23" s="64"/>
      <c r="D23" s="64"/>
      <c r="E23" s="64"/>
      <c r="F23" s="64"/>
      <c r="G23" s="64"/>
      <c r="H23" s="65"/>
      <c r="I23" s="15"/>
      <c r="J23" s="15" t="str">
        <f>"eBilsem!Q"&amp;$L$3+1</f>
        <v>eBilsem!Q8</v>
      </c>
      <c r="K23" s="26" t="str">
        <f t="shared" ca="1" si="0"/>
        <v>ÖĞRETMEN</v>
      </c>
      <c r="L23" s="15"/>
      <c r="M23" s="15"/>
      <c r="N23" s="15"/>
      <c r="O23" s="15"/>
      <c r="P23" s="18"/>
      <c r="Q23" s="18"/>
      <c r="R23" s="18"/>
      <c r="S23" s="18"/>
    </row>
    <row r="24" spans="2:19" x14ac:dyDescent="0.2">
      <c r="B24" s="63"/>
      <c r="C24" s="64"/>
      <c r="D24" s="64"/>
      <c r="E24" s="64"/>
      <c r="F24" s="64"/>
      <c r="G24" s="64"/>
      <c r="H24" s="65"/>
      <c r="I24" s="15"/>
      <c r="J24" s="15" t="str">
        <f>"eBilsem!R"&amp;$L$3+1</f>
        <v>eBilsem!R8</v>
      </c>
      <c r="K24" s="26" t="str">
        <f t="shared" ca="1" si="0"/>
        <v>MEB</v>
      </c>
      <c r="L24" s="15"/>
      <c r="M24" s="15"/>
      <c r="N24" s="15"/>
      <c r="O24" s="15"/>
      <c r="P24" s="18"/>
      <c r="Q24" s="18"/>
      <c r="R24" s="18"/>
      <c r="S24" s="18"/>
    </row>
    <row r="25" spans="2:19" ht="12" customHeight="1" x14ac:dyDescent="0.2">
      <c r="B25" s="24"/>
      <c r="C25" s="14"/>
      <c r="D25" s="14"/>
      <c r="E25" s="14"/>
      <c r="F25" s="66" t="s">
        <v>388</v>
      </c>
      <c r="G25" s="66"/>
      <c r="H25" s="67"/>
      <c r="I25" s="15"/>
      <c r="J25" s="15" t="str">
        <f>"eBilsem!AL"&amp;$L$3+1</f>
        <v>eBilsem!AL8</v>
      </c>
      <c r="K25" s="26" t="str">
        <f t="shared" ca="1" si="0"/>
        <v/>
      </c>
      <c r="L25" s="15"/>
      <c r="M25" s="15"/>
      <c r="N25" s="15"/>
      <c r="O25" s="15"/>
      <c r="P25" s="18"/>
      <c r="Q25" s="18"/>
      <c r="R25" s="18"/>
      <c r="S25" s="18"/>
    </row>
    <row r="26" spans="2:19" ht="15" customHeight="1" x14ac:dyDescent="0.2">
      <c r="B26" s="24"/>
      <c r="C26" s="14"/>
      <c r="D26" s="14"/>
      <c r="E26" s="14"/>
      <c r="F26" s="66" t="str">
        <f ca="1">IF(K9="Anne",K22,K17)</f>
        <v>FATMA</v>
      </c>
      <c r="G26" s="66"/>
      <c r="H26" s="67"/>
      <c r="I26" s="15"/>
      <c r="J26" s="15" t="str">
        <f>"eBilsem!AM"&amp;$L$3+1</f>
        <v>eBilsem!AM8</v>
      </c>
      <c r="K26" s="26" t="str">
        <f t="shared" ca="1" si="0"/>
        <v/>
      </c>
      <c r="L26" s="15"/>
      <c r="M26" s="15"/>
      <c r="N26" s="15"/>
      <c r="O26" s="15"/>
      <c r="P26" s="18"/>
      <c r="Q26" s="18"/>
      <c r="R26" s="18"/>
      <c r="S26" s="18"/>
    </row>
    <row r="27" spans="2:19" ht="12" customHeight="1" x14ac:dyDescent="0.2">
      <c r="B27" s="25"/>
      <c r="C27" s="14"/>
      <c r="D27" s="14"/>
      <c r="E27" s="14"/>
      <c r="F27" s="68">
        <f ca="1">TODAY()</f>
        <v>45930</v>
      </c>
      <c r="G27" s="68"/>
      <c r="H27" s="69"/>
      <c r="I27" s="15"/>
      <c r="J27" s="15"/>
      <c r="K27" s="29"/>
      <c r="L27" s="15"/>
      <c r="M27" s="15"/>
      <c r="N27" s="15"/>
      <c r="O27" s="15"/>
      <c r="P27" s="18"/>
      <c r="Q27" s="18"/>
      <c r="R27" s="18"/>
      <c r="S27" s="18"/>
    </row>
    <row r="28" spans="2:19" ht="10.5" customHeight="1" thickBot="1" x14ac:dyDescent="0.25">
      <c r="B28" s="70"/>
      <c r="C28" s="71"/>
      <c r="D28" s="71"/>
      <c r="E28" s="71"/>
      <c r="F28" s="71"/>
      <c r="G28" s="71"/>
      <c r="H28" s="72"/>
      <c r="I28" s="15"/>
      <c r="J28" s="15"/>
      <c r="K28" s="28"/>
      <c r="L28" s="15"/>
      <c r="M28" s="15"/>
      <c r="N28" s="15"/>
      <c r="O28" s="15"/>
      <c r="P28" s="18"/>
      <c r="Q28" s="18"/>
      <c r="R28" s="18"/>
      <c r="S28" s="18"/>
    </row>
    <row r="29" spans="2:19" ht="18.75" thickBot="1" x14ac:dyDescent="0.25">
      <c r="B29" s="62"/>
      <c r="C29" s="62"/>
      <c r="D29" s="62"/>
      <c r="E29" s="62"/>
      <c r="F29" s="62"/>
      <c r="G29" s="62"/>
      <c r="H29" s="62"/>
      <c r="I29" s="15"/>
      <c r="J29" s="15"/>
      <c r="K29" s="15"/>
      <c r="L29" s="15"/>
      <c r="M29" s="15"/>
      <c r="N29" s="15"/>
      <c r="O29" s="15"/>
      <c r="P29" s="18"/>
      <c r="Q29" s="18"/>
      <c r="R29" s="18"/>
      <c r="S29" s="18"/>
    </row>
    <row r="30" spans="2:19" ht="17.25" customHeight="1" thickBot="1" x14ac:dyDescent="0.25">
      <c r="B30" s="41" t="s">
        <v>389</v>
      </c>
      <c r="C30" s="42"/>
      <c r="D30" s="42"/>
      <c r="E30" s="42"/>
      <c r="F30" s="42"/>
      <c r="G30" s="42"/>
      <c r="H30" s="43"/>
      <c r="I30" s="15"/>
      <c r="J30" s="15"/>
      <c r="K30" s="15"/>
      <c r="L30" s="15"/>
      <c r="M30" s="15"/>
      <c r="N30" s="15"/>
      <c r="O30" s="15"/>
      <c r="P30" s="18"/>
      <c r="Q30" s="18"/>
      <c r="R30" s="18"/>
      <c r="S30" s="18"/>
    </row>
    <row r="31" spans="2:19" ht="8.25" customHeight="1" x14ac:dyDescent="0.2">
      <c r="B31" s="56"/>
      <c r="C31" s="57"/>
      <c r="D31" s="57"/>
      <c r="E31" s="57"/>
      <c r="F31" s="57"/>
      <c r="G31" s="57"/>
      <c r="H31" s="58"/>
      <c r="I31" s="15"/>
      <c r="J31" s="15"/>
      <c r="K31" s="15"/>
      <c r="L31" s="15"/>
      <c r="M31" s="15"/>
      <c r="N31" s="15"/>
      <c r="O31" s="15"/>
      <c r="P31" s="18"/>
      <c r="Q31" s="18"/>
      <c r="R31" s="18"/>
      <c r="S31" s="18"/>
    </row>
    <row r="32" spans="2:19" ht="76.5" customHeight="1" x14ac:dyDescent="0.2">
      <c r="B32" s="63" t="s">
        <v>390</v>
      </c>
      <c r="C32" s="64"/>
      <c r="D32" s="64"/>
      <c r="E32" s="64"/>
      <c r="F32" s="64"/>
      <c r="G32" s="64"/>
      <c r="H32" s="65"/>
      <c r="I32" s="15"/>
      <c r="J32" s="15"/>
      <c r="K32" s="15"/>
      <c r="L32" s="15"/>
      <c r="M32" s="15"/>
      <c r="N32" s="15"/>
      <c r="O32" s="15"/>
      <c r="P32" s="18"/>
      <c r="Q32" s="18"/>
      <c r="R32" s="18"/>
      <c r="S32" s="18"/>
    </row>
    <row r="33" spans="2:19" x14ac:dyDescent="0.2">
      <c r="B33" s="63"/>
      <c r="C33" s="64"/>
      <c r="D33" s="64"/>
      <c r="E33" s="64"/>
      <c r="F33" s="64"/>
      <c r="G33" s="64"/>
      <c r="H33" s="65"/>
      <c r="I33" s="15"/>
      <c r="J33" s="15"/>
      <c r="K33" s="15"/>
      <c r="L33" s="15"/>
      <c r="M33" s="15"/>
      <c r="N33" s="15"/>
      <c r="O33" s="15"/>
      <c r="P33" s="18"/>
      <c r="Q33" s="18"/>
      <c r="R33" s="18"/>
      <c r="S33" s="18"/>
    </row>
    <row r="34" spans="2:19" ht="17.25" customHeight="1" x14ac:dyDescent="0.2">
      <c r="B34" s="24"/>
      <c r="C34" s="14"/>
      <c r="D34" s="14"/>
      <c r="E34" s="14"/>
      <c r="F34" s="66" t="s">
        <v>388</v>
      </c>
      <c r="G34" s="66"/>
      <c r="H34" s="67"/>
      <c r="I34" s="15"/>
      <c r="J34" s="15"/>
      <c r="K34" s="15"/>
      <c r="L34" s="15"/>
      <c r="M34" s="15"/>
      <c r="N34" s="15"/>
      <c r="O34" s="15"/>
      <c r="P34" s="18"/>
      <c r="Q34" s="18"/>
      <c r="R34" s="18"/>
      <c r="S34" s="18"/>
    </row>
    <row r="35" spans="2:19" x14ac:dyDescent="0.2">
      <c r="B35" s="24"/>
      <c r="C35" s="14"/>
      <c r="D35" s="14"/>
      <c r="E35" s="14"/>
      <c r="F35" s="66" t="str">
        <f ca="1">F26</f>
        <v>FATMA</v>
      </c>
      <c r="G35" s="66"/>
      <c r="H35" s="67"/>
      <c r="I35" s="15"/>
      <c r="J35" s="15"/>
      <c r="K35" s="15"/>
      <c r="L35" s="15"/>
      <c r="M35" s="15"/>
      <c r="N35" s="15"/>
      <c r="O35" s="15"/>
      <c r="P35" s="18"/>
      <c r="Q35" s="18"/>
      <c r="R35" s="18"/>
      <c r="S35" s="18"/>
    </row>
    <row r="36" spans="2:19" ht="17.25" customHeight="1" x14ac:dyDescent="0.2">
      <c r="B36" s="25"/>
      <c r="C36" s="14"/>
      <c r="D36" s="14"/>
      <c r="E36" s="14"/>
      <c r="F36" s="68">
        <f ca="1">F27</f>
        <v>45930</v>
      </c>
      <c r="G36" s="68"/>
      <c r="H36" s="69"/>
      <c r="I36" s="15"/>
      <c r="J36" s="15"/>
      <c r="K36" s="15"/>
      <c r="L36" s="15"/>
      <c r="M36" s="15"/>
      <c r="N36" s="15"/>
      <c r="O36" s="15"/>
      <c r="P36" s="18"/>
      <c r="Q36" s="18"/>
      <c r="R36" s="18"/>
      <c r="S36" s="18"/>
    </row>
    <row r="37" spans="2:19" ht="13.5" customHeight="1" thickBot="1" x14ac:dyDescent="0.25">
      <c r="B37" s="70"/>
      <c r="C37" s="71"/>
      <c r="D37" s="71"/>
      <c r="E37" s="71"/>
      <c r="F37" s="71"/>
      <c r="G37" s="71"/>
      <c r="H37" s="72"/>
      <c r="I37" s="15"/>
      <c r="J37" s="15"/>
      <c r="K37" s="15"/>
      <c r="L37" s="15"/>
      <c r="M37" s="15"/>
      <c r="N37" s="15"/>
      <c r="O37" s="15"/>
      <c r="P37" s="18"/>
      <c r="Q37" s="18"/>
      <c r="R37" s="18"/>
      <c r="S37" s="18"/>
    </row>
    <row r="38" spans="2:19" x14ac:dyDescent="0.2">
      <c r="I38" s="15"/>
      <c r="J38" s="15"/>
      <c r="K38" s="15"/>
      <c r="L38" s="15"/>
      <c r="M38" s="15"/>
      <c r="N38" s="15"/>
      <c r="O38" s="15"/>
      <c r="P38" s="18"/>
      <c r="Q38" s="18"/>
      <c r="R38" s="18"/>
      <c r="S38" s="18"/>
    </row>
    <row r="39" spans="2:19" x14ac:dyDescent="0.2">
      <c r="I39" s="15"/>
      <c r="J39" s="15"/>
      <c r="K39" s="15"/>
      <c r="L39" s="15"/>
      <c r="M39" s="15"/>
      <c r="N39" s="15"/>
      <c r="O39" s="15"/>
      <c r="P39" s="18"/>
      <c r="Q39" s="18"/>
      <c r="R39" s="18"/>
      <c r="S39" s="18"/>
    </row>
    <row r="40" spans="2:19" x14ac:dyDescent="0.2">
      <c r="I40" s="18"/>
      <c r="J40" s="18"/>
      <c r="K40" s="18"/>
      <c r="L40" s="18"/>
      <c r="M40" s="18"/>
      <c r="N40" s="18"/>
      <c r="O40" s="18"/>
      <c r="P40" s="18"/>
      <c r="Q40" s="18"/>
      <c r="R40" s="18"/>
      <c r="S40" s="18"/>
    </row>
  </sheetData>
  <mergeCells count="56">
    <mergeCell ref="B32:H32"/>
    <mergeCell ref="B33:H33"/>
    <mergeCell ref="F34:H34"/>
    <mergeCell ref="F35:H35"/>
    <mergeCell ref="F36:H36"/>
    <mergeCell ref="B37:H37"/>
    <mergeCell ref="F27:H27"/>
    <mergeCell ref="B28:H28"/>
    <mergeCell ref="B29:D29"/>
    <mergeCell ref="E29:H29"/>
    <mergeCell ref="B30:H30"/>
    <mergeCell ref="B31:H31"/>
    <mergeCell ref="B21:H21"/>
    <mergeCell ref="B22:H22"/>
    <mergeCell ref="B23:H23"/>
    <mergeCell ref="B24:H24"/>
    <mergeCell ref="F25:H25"/>
    <mergeCell ref="F26:H26"/>
    <mergeCell ref="D18:E18"/>
    <mergeCell ref="F18:H18"/>
    <mergeCell ref="D19:E19"/>
    <mergeCell ref="F19:H19"/>
    <mergeCell ref="B20:D20"/>
    <mergeCell ref="E20:H20"/>
    <mergeCell ref="D14:H14"/>
    <mergeCell ref="D15:E15"/>
    <mergeCell ref="F15:H15"/>
    <mergeCell ref="D16:E16"/>
    <mergeCell ref="F16:H16"/>
    <mergeCell ref="D17:E17"/>
    <mergeCell ref="F17:H17"/>
    <mergeCell ref="C10:D10"/>
    <mergeCell ref="E10:F10"/>
    <mergeCell ref="G10:H10"/>
    <mergeCell ref="C11:H11"/>
    <mergeCell ref="C12:H12"/>
    <mergeCell ref="D13:H13"/>
    <mergeCell ref="C8:D8"/>
    <mergeCell ref="E8:F8"/>
    <mergeCell ref="G8:H8"/>
    <mergeCell ref="C9:D9"/>
    <mergeCell ref="E9:F9"/>
    <mergeCell ref="G9:H9"/>
    <mergeCell ref="B5:H5"/>
    <mergeCell ref="C6:D6"/>
    <mergeCell ref="E6:F6"/>
    <mergeCell ref="G6:H6"/>
    <mergeCell ref="C7:D7"/>
    <mergeCell ref="E7:F7"/>
    <mergeCell ref="G7:H7"/>
    <mergeCell ref="B1:B3"/>
    <mergeCell ref="C1:G1"/>
    <mergeCell ref="H1:H3"/>
    <mergeCell ref="C2:G2"/>
    <mergeCell ref="C3:G3"/>
    <mergeCell ref="B4:H4"/>
  </mergeCells>
  <pageMargins left="0.19685039370078741" right="0.11811023622047245" top="0.19685039370078741" bottom="0" header="0.31496062992125984" footer="0.31496062992125984"/>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List Box 1">
              <controlPr defaultSize="0" autoLine="0" autoPict="0">
                <anchor moveWithCells="1">
                  <from>
                    <xdr:col>10</xdr:col>
                    <xdr:colOff>95250</xdr:colOff>
                    <xdr:row>0</xdr:row>
                    <xdr:rowOff>152400</xdr:rowOff>
                  </from>
                  <to>
                    <xdr:col>11</xdr:col>
                    <xdr:colOff>600075</xdr:colOff>
                    <xdr:row>3</xdr:row>
                    <xdr:rowOff>76200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2</vt:i4>
      </vt:variant>
    </vt:vector>
  </HeadingPairs>
  <TitlesOfParts>
    <vt:vector size="6" baseType="lpstr">
      <vt:lpstr>FormYanıtları1</vt:lpstr>
      <vt:lpstr>eBilsem</vt:lpstr>
      <vt:lpstr>Form</vt:lpstr>
      <vt:lpstr>Kayıt Yenileme</vt:lpstr>
      <vt:lpstr>Form!Yazdırma_Alanı</vt:lpstr>
      <vt:lpstr>'Kayıt Yenileme'!Yazdırma_Alanı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Kenan KORKMAZ</cp:lastModifiedBy>
  <dcterms:modified xsi:type="dcterms:W3CDTF">2025-09-30T14:37:06Z</dcterms:modified>
</cp:coreProperties>
</file>